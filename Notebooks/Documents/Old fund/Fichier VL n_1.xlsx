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plitecgroupe.sharepoint.com/sites/Equipes59/Documents partages/Dossiers EC/EMZ Partners/Sancy - SLP/Exercice 2025/2- Fichier VL/Situation 2025-12-31/"/>
    </mc:Choice>
  </mc:AlternateContent>
  <xr:revisionPtr revIDLastSave="0" documentId="8_{4655B459-4CFB-42C3-B1A7-1B790626B07C}" xr6:coauthVersionLast="47" xr6:coauthVersionMax="47" xr10:uidLastSave="{00000000-0000-0000-0000-000000000000}"/>
  <bookViews>
    <workbookView xWindow="-57720" yWindow="-120" windowWidth="29040" windowHeight="15720" tabRatio="916" firstSheet="19" activeTab="19" xr2:uid="{00000000-000D-0000-FFFF-FFFF00000000}"/>
  </bookViews>
  <sheets>
    <sheet name="Sommaire" sheetId="88" r:id="rId1"/>
    <sheet name="Inventaire" sheetId="2" r:id="rId2"/>
    <sheet name="Calcul VL" sheetId="82" r:id="rId3"/>
    <sheet name="O.D Rééval" sheetId="94" r:id="rId4"/>
    <sheet name="Rappro Titres &amp; Parts" sheetId="47" r:id="rId5"/>
    <sheet name="Hors bilan" sheetId="74" r:id="rId6"/>
    <sheet name="PVMV" sheetId="42" r:id="rId7"/>
    <sheet name="Emprunt" sheetId="95" r:id="rId8"/>
    <sheet name="Intérêts CC" sheetId="83" r:id="rId9"/>
    <sheet name="Intérêts OC" sheetId="75" r:id="rId10"/>
    <sheet name="Sous-Rachat" sheetId="68" r:id="rId11"/>
    <sheet name="Liste porteurs selon versement " sheetId="69" r:id="rId12"/>
    <sheet name="Frais de gestion" sheetId="60" r:id="rId13"/>
    <sheet name="Créances_&amp;_dettes" sheetId="40" r:id="rId14"/>
    <sheet name="Bilan" sheetId="84" r:id="rId15"/>
    <sheet name="Résultat" sheetId="85" r:id="rId16"/>
    <sheet name="Capitaux propres" sheetId="86" r:id="rId17"/>
    <sheet name="Rappro Banque" sheetId="43" r:id="rId18"/>
    <sheet name="Rappro Balance" sheetId="37" r:id="rId19"/>
    <sheet name="Balance " sheetId="98" r:id="rId20"/>
  </sheets>
  <definedNames>
    <definedName name="_xlnm._FilterDatabase" localSheetId="11" hidden="1">'Liste porteurs selon versement '!$A$9:$E$26</definedName>
    <definedName name="_xlnm._FilterDatabase" localSheetId="3" hidden="1">'O.D Rééval'!$C$1:$I$34</definedName>
    <definedName name="_xlnm._FilterDatabase" localSheetId="6" hidden="1">PVMV!$A$4:$V$26</definedName>
    <definedName name="_xlnm._FilterDatabase" localSheetId="4" hidden="1">'Rappro Titres &amp; Parts'!$B$5:$K$12</definedName>
    <definedName name="_xlnm._FilterDatabase" localSheetId="10" hidden="1">'Sous-Rachat'!$B$14:$F$20</definedName>
    <definedName name="_UNDO_UPS_" localSheetId="3" hidden="1">#REF!</definedName>
    <definedName name="_UNDO_UPS_" hidden="1">#REF!</definedName>
    <definedName name="_UNDO_UPS_SEL_" localSheetId="3" hidden="1">#REF!</definedName>
    <definedName name="_UNDO_UPS_SEL_" hidden="1">#REF!</definedName>
    <definedName name="_UNDO31X31X_" localSheetId="3" hidden="1">#REF!</definedName>
    <definedName name="_UNDO31X31X_" hidden="1">#REF!</definedName>
    <definedName name="_zz8" localSheetId="3">#REF!</definedName>
    <definedName name="_zz8">#REF!</definedName>
    <definedName name="ABCcostPerLine" localSheetId="19">#REF!</definedName>
    <definedName name="ABCcostPerLine" localSheetId="7">#REF!</definedName>
    <definedName name="ABCcostPerLine" localSheetId="3">#REF!</definedName>
    <definedName name="ABCcostPerLine">#REF!</definedName>
    <definedName name="ABClinesMax" localSheetId="19">#REF!</definedName>
    <definedName name="ABClinesMax" localSheetId="7">#REF!</definedName>
    <definedName name="ABClinesMax" localSheetId="3">#REF!</definedName>
    <definedName name="ABClinesMax">#REF!</definedName>
    <definedName name="ABClinesMin" localSheetId="19">#REF!</definedName>
    <definedName name="ABClinesMin" localSheetId="7">#REF!</definedName>
    <definedName name="ABClinesMin" localSheetId="3">#REF!</definedName>
    <definedName name="ABClinesMin">#REF!</definedName>
    <definedName name="ABCterminalCost" localSheetId="19">#REF!</definedName>
    <definedName name="ABCterminalCost" localSheetId="7">#REF!</definedName>
    <definedName name="ABCterminalCost" localSheetId="3">#REF!</definedName>
    <definedName name="ABCterminalCost">#REF!</definedName>
    <definedName name="ABCutil" localSheetId="19">#REF!</definedName>
    <definedName name="ABCutil" localSheetId="7">#REF!</definedName>
    <definedName name="ABCutil" localSheetId="3">#REF!</definedName>
    <definedName name="ABCutil">#REF!</definedName>
    <definedName name="AccessNodeSize" localSheetId="19">#REF!</definedName>
    <definedName name="AccessNodeSize" localSheetId="7">#REF!</definedName>
    <definedName name="AccessNodeSize" localSheetId="3">#REF!</definedName>
    <definedName name="AccessNodeSize">#REF!</definedName>
    <definedName name="ActCabinetTelcoCost" localSheetId="19">#REF!</definedName>
    <definedName name="ActCabinetTelcoCost" localSheetId="7">#REF!</definedName>
    <definedName name="ActCabinetTelcoCost" localSheetId="3">#REF!</definedName>
    <definedName name="ActCabinetTelcoCost">#REF!</definedName>
    <definedName name="ActCabinetVideoCost" localSheetId="19">#REF!</definedName>
    <definedName name="ActCabinetVideoCost" localSheetId="7">#REF!</definedName>
    <definedName name="ActCabinetVideoCost" localSheetId="3">#REF!</definedName>
    <definedName name="ActCabinetVideoCost">#REF!</definedName>
    <definedName name="ActiveLines" localSheetId="19">#REF!</definedName>
    <definedName name="ActiveLines" localSheetId="7">#REF!</definedName>
    <definedName name="ActiveLines" localSheetId="3">#REF!</definedName>
    <definedName name="ActiveLines">#REF!</definedName>
    <definedName name="ActiveUtil" localSheetId="19">#REF!</definedName>
    <definedName name="ActiveUtil" localSheetId="7">#REF!</definedName>
    <definedName name="ActiveUtil" localSheetId="3">#REF!</definedName>
    <definedName name="ActiveUtil">#REF!</definedName>
    <definedName name="AreaPerEmployee" localSheetId="19">#REF!</definedName>
    <definedName name="AreaPerEmployee" localSheetId="7">#REF!</definedName>
    <definedName name="AreaPerEmployee" localSheetId="3">#REF!</definedName>
    <definedName name="AreaPerEmployee">#REF!</definedName>
    <definedName name="AreaPerHeadend" localSheetId="19">#REF!</definedName>
    <definedName name="AreaPerHeadend" localSheetId="7">#REF!</definedName>
    <definedName name="AreaPerHeadend" localSheetId="3">#REF!</definedName>
    <definedName name="AreaPerHeadend">#REF!</definedName>
    <definedName name="AreaPerSwitch" localSheetId="19">#REF!</definedName>
    <definedName name="AreaPerSwitch" localSheetId="7">#REF!</definedName>
    <definedName name="AreaPerSwitch" localSheetId="3">#REF!</definedName>
    <definedName name="AreaPerSwitch">#REF!</definedName>
    <definedName name="ArialCoaxLabor" localSheetId="19">#REF!</definedName>
    <definedName name="ArialCoaxLabor" localSheetId="7">#REF!</definedName>
    <definedName name="ArialCoaxLabor" localSheetId="3">#REF!</definedName>
    <definedName name="ArialCoaxLabor">#REF!</definedName>
    <definedName name="ArialCoaxMaterial" localSheetId="19">#REF!</definedName>
    <definedName name="ArialCoaxMaterial" localSheetId="7">#REF!</definedName>
    <definedName name="ArialCoaxMaterial" localSheetId="3">#REF!</definedName>
    <definedName name="ArialCoaxMaterial">#REF!</definedName>
    <definedName name="ArialFiberLabor" localSheetId="19">#REF!</definedName>
    <definedName name="ArialFiberLabor" localSheetId="7">#REF!</definedName>
    <definedName name="ArialFiberLabor" localSheetId="3">#REF!</definedName>
    <definedName name="ArialFiberLabor">#REF!</definedName>
    <definedName name="ArialFiberMaterial" localSheetId="19">#REF!</definedName>
    <definedName name="ArialFiberMaterial" localSheetId="7">#REF!</definedName>
    <definedName name="ArialFiberMaterial" localSheetId="3">#REF!</definedName>
    <definedName name="ArialFiberMaterial">#REF!</definedName>
    <definedName name="Autres_fds" localSheetId="19">#REF!</definedName>
    <definedName name="Autres_fds" localSheetId="7">#REF!</definedName>
    <definedName name="Autres_fds" localSheetId="3">#REF!</definedName>
    <definedName name="Autres_fds">#REF!</definedName>
    <definedName name="AvgDropLength" localSheetId="19">#REF!</definedName>
    <definedName name="AvgDropLength" localSheetId="7">#REF!</definedName>
    <definedName name="AvgDropLength" localSheetId="3">#REF!</definedName>
    <definedName name="AvgDropLength">#REF!</definedName>
    <definedName name="AW" localSheetId="3">#REF!</definedName>
    <definedName name="AW">#REF!</definedName>
    <definedName name="BaseYear" localSheetId="19">#REF!</definedName>
    <definedName name="BaseYear" localSheetId="7">#REF!</definedName>
    <definedName name="BaseYear" localSheetId="3">#REF!</definedName>
    <definedName name="BaseYear">#REF!</definedName>
    <definedName name="bb" localSheetId="3">#REF!</definedName>
    <definedName name="bb">#REF!</definedName>
    <definedName name="Beg_Bal" localSheetId="3">#REF!</definedName>
    <definedName name="Beg_Bal">#REF!</definedName>
    <definedName name="BOOST" localSheetId="3">#REF!</definedName>
    <definedName name="BOOST">#REF!</definedName>
    <definedName name="BSPrint" localSheetId="3">#REF!</definedName>
    <definedName name="BSPrint">#REF!</definedName>
    <definedName name="BuildSchedule" localSheetId="3">#REF!</definedName>
    <definedName name="BuildSchedule">#REF!</definedName>
    <definedName name="BuildScheduleFast" localSheetId="3">#REF!</definedName>
    <definedName name="BuildScheduleFast">#REF!</definedName>
    <definedName name="BuildScheduleLong" localSheetId="3">#REF!</definedName>
    <definedName name="BuildScheduleLong">#REF!</definedName>
    <definedName name="BuildScheduleSubs" localSheetId="3">#REF!</definedName>
    <definedName name="BuildScheduleSubs">#REF!</definedName>
    <definedName name="BuriedCoaxLabor" localSheetId="19">#REF!</definedName>
    <definedName name="BuriedCoaxLabor" localSheetId="7">#REF!</definedName>
    <definedName name="BuriedCoaxLabor" localSheetId="3">#REF!</definedName>
    <definedName name="BuriedCoaxLabor">#REF!</definedName>
    <definedName name="BuriedCoaxMaterial" localSheetId="19">#REF!</definedName>
    <definedName name="BuriedCoaxMaterial" localSheetId="7">#REF!</definedName>
    <definedName name="BuriedCoaxMaterial" localSheetId="3">#REF!</definedName>
    <definedName name="BuriedCoaxMaterial">#REF!</definedName>
    <definedName name="BuriedFiberLabor" localSheetId="19">#REF!</definedName>
    <definedName name="BuriedFiberLabor" localSheetId="7">#REF!</definedName>
    <definedName name="BuriedFiberLabor" localSheetId="3">#REF!</definedName>
    <definedName name="BuriedFiberLabor">#REF!</definedName>
    <definedName name="BuriedFiberMaterial" localSheetId="19">#REF!</definedName>
    <definedName name="BuriedFiberMaterial" localSheetId="7">#REF!</definedName>
    <definedName name="BuriedFiberMaterial" localSheetId="3">#REF!</definedName>
    <definedName name="BuriedFiberMaterial">#REF!</definedName>
    <definedName name="BusinessesPassed" localSheetId="19">#REF!</definedName>
    <definedName name="BusinessesPassed" localSheetId="7">#REF!</definedName>
    <definedName name="BusinessesPassed" localSheetId="3">#REF!</definedName>
    <definedName name="BusinessesPassed">#REF!</definedName>
    <definedName name="BusinessLines" localSheetId="19">#REF!</definedName>
    <definedName name="BusinessLines" localSheetId="7">#REF!</definedName>
    <definedName name="BusinessLines" localSheetId="3">#REF!</definedName>
    <definedName name="BusinessLines">#REF!</definedName>
    <definedName name="CableTelephony" localSheetId="19">#REF!</definedName>
    <definedName name="CableTelephony" localSheetId="7">#REF!</definedName>
    <definedName name="CableTelephony" localSheetId="3">#REF!</definedName>
    <definedName name="CableTelephony">#REF!</definedName>
    <definedName name="CAPXexport" localSheetId="19">#REF!</definedName>
    <definedName name="CAPXexport" localSheetId="7">#REF!</definedName>
    <definedName name="CAPXexport" localSheetId="3">#REF!</definedName>
    <definedName name="CAPXexport">#REF!</definedName>
    <definedName name="CATV2Outlet" localSheetId="19">#REF!</definedName>
    <definedName name="CATV2Outlet" localSheetId="7">#REF!</definedName>
    <definedName name="CATV2Outlet" localSheetId="3">#REF!</definedName>
    <definedName name="CATV2Outlet">#REF!</definedName>
    <definedName name="CATVchurnRate" localSheetId="19">#REF!</definedName>
    <definedName name="CATVchurnRate" localSheetId="7">#REF!</definedName>
    <definedName name="CATVchurnRate" localSheetId="3">#REF!</definedName>
    <definedName name="CATVchurnRate">#REF!</definedName>
    <definedName name="CATVnodeSize" localSheetId="19">#REF!</definedName>
    <definedName name="CATVnodeSize" localSheetId="7">#REF!</definedName>
    <definedName name="CATVnodeSize" localSheetId="3">#REF!</definedName>
    <definedName name="CATVnodeSize">#REF!</definedName>
    <definedName name="CATVsubscribers" localSheetId="19">#REF!</definedName>
    <definedName name="CATVsubscribers" localSheetId="7">#REF!</definedName>
    <definedName name="CATVsubscribers" localSheetId="3">#REF!</definedName>
    <definedName name="CATVsubscribers">#REF!</definedName>
    <definedName name="CClines" localSheetId="19">#REF!</definedName>
    <definedName name="CClines" localSheetId="7">#REF!</definedName>
    <definedName name="CClines" localSheetId="3">#REF!</definedName>
    <definedName name="CClines">#REF!</definedName>
    <definedName name="CCutil" localSheetId="19">#REF!</definedName>
    <definedName name="CCutil" localSheetId="7">#REF!</definedName>
    <definedName name="CCutil" localSheetId="3">#REF!</definedName>
    <definedName name="CCutil">#REF!</definedName>
    <definedName name="CDC" localSheetId="3">#REF!</definedName>
    <definedName name="CDC">#REF!</definedName>
    <definedName name="CFactor" localSheetId="3">#REF!</definedName>
    <definedName name="CFactor">#REF!</definedName>
    <definedName name="clot1">#REF!</definedName>
    <definedName name="CNTcost" localSheetId="19">#REF!</definedName>
    <definedName name="CNTcost" localSheetId="7">#REF!</definedName>
    <definedName name="CNTcost" localSheetId="3">#REF!</definedName>
    <definedName name="CNTcost">#REF!</definedName>
    <definedName name="CoaxDropLabor" localSheetId="19">#REF!</definedName>
    <definedName name="CoaxDropLabor" localSheetId="7">#REF!</definedName>
    <definedName name="CoaxDropLabor" localSheetId="3">#REF!</definedName>
    <definedName name="CoaxDropLabor">#REF!</definedName>
    <definedName name="CoaxDropMaterial" localSheetId="19">#REF!</definedName>
    <definedName name="CoaxDropMaterial" localSheetId="7">#REF!</definedName>
    <definedName name="CoaxDropMaterial" localSheetId="3">#REF!</definedName>
    <definedName name="CoaxDropMaterial">#REF!</definedName>
    <definedName name="ConduitLabor" localSheetId="19">#REF!</definedName>
    <definedName name="ConduitLabor" localSheetId="7">#REF!</definedName>
    <definedName name="ConduitLabor" localSheetId="3">#REF!</definedName>
    <definedName name="ConduitLabor">#REF!</definedName>
    <definedName name="ConduitMaterial" localSheetId="19">#REF!</definedName>
    <definedName name="ConduitMaterial" localSheetId="7">#REF!</definedName>
    <definedName name="ConduitMaterial" localSheetId="3">#REF!</definedName>
    <definedName name="ConduitMaterial">#REF!</definedName>
    <definedName name="ConverterCost" localSheetId="19">#REF!</definedName>
    <definedName name="ConverterCost" localSheetId="7">#REF!</definedName>
    <definedName name="ConverterCost" localSheetId="3">#REF!</definedName>
    <definedName name="ConverterCost">#REF!</definedName>
    <definedName name="Corr" localSheetId="19">#REF!</definedName>
    <definedName name="Corr" localSheetId="7">#REF!</definedName>
    <definedName name="Corr" localSheetId="3">#REF!</definedName>
    <definedName name="Corr">#REF!</definedName>
    <definedName name="Cover" localSheetId="19" hidden="1">{"sum1",#N/A,FALSE,"Grand Total";"sum1",#N/A,FALSE,"CAs";"sum1",#N/A,FALSE,"HWSCo1T";"sum1",#N/A,FALSE,"WSCo";"sum1",#N/A,FALSE,"FL";"sum1",#N/A,FALSE,"DTT";"sum1",#N/A,FALSE,"DAB";"sum1",#N/A,FALSE,"HSCo"}</definedName>
    <definedName name="Cover" localSheetId="16" hidden="1">{"sum1",#N/A,FALSE,"Grand Total";"sum1",#N/A,FALSE,"CAs";"sum1",#N/A,FALSE,"HWSCo1T";"sum1",#N/A,FALSE,"WSCo";"sum1",#N/A,FALSE,"FL";"sum1",#N/A,FALSE,"DTT";"sum1",#N/A,FALSE,"DAB";"sum1",#N/A,FALSE,"HSCo"}</definedName>
    <definedName name="Cover" localSheetId="7" hidden="1">{"sum1",#N/A,FALSE,"Grand Total";"sum1",#N/A,FALSE,"CAs";"sum1",#N/A,FALSE,"HWSCo1T";"sum1",#N/A,FALSE,"WSCo";"sum1",#N/A,FALSE,"FL";"sum1",#N/A,FALSE,"DTT";"sum1",#N/A,FALSE,"DAB";"sum1",#N/A,FALSE,"HSCo"}</definedName>
    <definedName name="Cover" localSheetId="3" hidden="1">{"sum1",#N/A,FALSE,"Grand Total";"sum1",#N/A,FALSE,"CAs";"sum1",#N/A,FALSE,"HWSCo1T";"sum1",#N/A,FALSE,"WSCo";"sum1",#N/A,FALSE,"FL";"sum1",#N/A,FALSE,"DTT";"sum1",#N/A,FALSE,"DAB";"sum1",#N/A,FALSE,"HSCo"}</definedName>
    <definedName name="Cover" localSheetId="15" hidden="1">{"sum1",#N/A,FALSE,"Grand Total";"sum1",#N/A,FALSE,"CAs";"sum1",#N/A,FALSE,"HWSCo1T";"sum1",#N/A,FALSE,"WSCo";"sum1",#N/A,FALSE,"FL";"sum1",#N/A,FALSE,"DTT";"sum1",#N/A,FALSE,"DAB";"sum1",#N/A,FALSE,"HSCo"}</definedName>
    <definedName name="Cover" localSheetId="0" hidden="1">{"sum1",#N/A,FALSE,"Grand Total";"sum1",#N/A,FALSE,"CAs";"sum1",#N/A,FALSE,"HWSCo1T";"sum1",#N/A,FALSE,"WSCo";"sum1",#N/A,FALSE,"FL";"sum1",#N/A,FALSE,"DTT";"sum1",#N/A,FALSE,"DAB";"sum1",#N/A,FALSE,"HSCo"}</definedName>
    <definedName name="Cover" hidden="1">{"sum1",#N/A,FALSE,"Grand Total";"sum1",#N/A,FALSE,"CAs";"sum1",#N/A,FALSE,"HWSCo1T";"sum1",#N/A,FALSE,"WSCo";"sum1",#N/A,FALSE,"FL";"sum1",#N/A,FALSE,"DTT";"sum1",#N/A,FALSE,"DAB";"sum1",#N/A,FALSE,"HSCo"}</definedName>
    <definedName name="CrossConnCost" localSheetId="19">#REF!</definedName>
    <definedName name="CrossConnCost" localSheetId="7">#REF!</definedName>
    <definedName name="CrossConnCost" localSheetId="3">#REF!</definedName>
    <definedName name="CrossConnCost">#REF!</definedName>
    <definedName name="CSRstaff" localSheetId="19">#REF!</definedName>
    <definedName name="CSRstaff" localSheetId="7">#REF!</definedName>
    <definedName name="CSRstaff" localSheetId="3">#REF!</definedName>
    <definedName name="CSRstaff">#REF!</definedName>
    <definedName name="Data" localSheetId="3">#REF!</definedName>
    <definedName name="Data">#REF!</definedName>
    <definedName name="dcfsept_97_2_DCF_List" localSheetId="19">#REF!</definedName>
    <definedName name="dcfsept_97_2_DCF_List" localSheetId="7">#REF!</definedName>
    <definedName name="dcfsept_97_2_DCF_List" localSheetId="3">#REF!</definedName>
    <definedName name="dcfsept_97_2_DCF_List">#REF!</definedName>
    <definedName name="DLCoverlay" localSheetId="19">#REF!</definedName>
    <definedName name="DLCoverlay" localSheetId="7">#REF!</definedName>
    <definedName name="DLCoverlay" localSheetId="3">#REF!</definedName>
    <definedName name="DLCoverlay">#REF!</definedName>
    <definedName name="dlr" localSheetId="19">#REF!</definedName>
    <definedName name="dlr" localSheetId="7">#REF!</definedName>
    <definedName name="dlr" localSheetId="3">#REF!</definedName>
    <definedName name="dlr">#REF!</definedName>
    <definedName name="DLRS" localSheetId="19">#REF!</definedName>
    <definedName name="DLRS" localSheetId="7">#REF!</definedName>
    <definedName name="DLRS" localSheetId="3">#REF!</definedName>
    <definedName name="DLRS">#REF!</definedName>
    <definedName name="Dollarexchange" localSheetId="3">#REF!</definedName>
    <definedName name="Dollarexchange">#REF!</definedName>
    <definedName name="EIF" localSheetId="3">#REF!</definedName>
    <definedName name="EIF">#REF!</definedName>
    <definedName name="End_Bal" localSheetId="3">#REF!</definedName>
    <definedName name="End_Bal">#REF!</definedName>
    <definedName name="er" localSheetId="19">#REF!</definedName>
    <definedName name="er" localSheetId="7">#REF!</definedName>
    <definedName name="er" localSheetId="3">#REF!</definedName>
    <definedName name="er">#REF!</definedName>
    <definedName name="euro" localSheetId="19">#REF!</definedName>
    <definedName name="euro" localSheetId="7">#REF!</definedName>
    <definedName name="euro" localSheetId="3">#REF!</definedName>
    <definedName name="euro">#REF!</definedName>
    <definedName name="EuroPtasExchange" localSheetId="3">#REF!</definedName>
    <definedName name="EuroPtasExchange">#REF!</definedName>
    <definedName name="EuroPtasRate" localSheetId="3">#REF!</definedName>
    <definedName name="EuroPtasRate">#REF!</definedName>
    <definedName name="EURSWP" localSheetId="3">#REF!</definedName>
    <definedName name="EURSWP">#REF!</definedName>
    <definedName name="Excel_BuiltIn__FilterDatabase_13" localSheetId="14">#REF!</definedName>
    <definedName name="Excel_BuiltIn__FilterDatabase_13" localSheetId="2">#REF!</definedName>
    <definedName name="Excel_BuiltIn__FilterDatabase_13" localSheetId="16">#REF!</definedName>
    <definedName name="Excel_BuiltIn__FilterDatabase_13" localSheetId="12">#REF!</definedName>
    <definedName name="Excel_BuiltIn__FilterDatabase_13" localSheetId="8">#REF!</definedName>
    <definedName name="Excel_BuiltIn__FilterDatabase_13" localSheetId="3">#REF!</definedName>
    <definedName name="Excel_BuiltIn__FilterDatabase_13" localSheetId="15">#REF!</definedName>
    <definedName name="Excel_BuiltIn__FilterDatabase_13" localSheetId="0">#REF!</definedName>
    <definedName name="Excel_BuiltIn__FilterDatabase_13">#REF!</definedName>
    <definedName name="Excel_BuiltIn_Print_Area_4" localSheetId="14">#REF!</definedName>
    <definedName name="Excel_BuiltIn_Print_Area_4" localSheetId="16">#REF!</definedName>
    <definedName name="Excel_BuiltIn_Print_Area_4" localSheetId="12">#REF!</definedName>
    <definedName name="Excel_BuiltIn_Print_Area_4" localSheetId="8">#REF!</definedName>
    <definedName name="Excel_BuiltIn_Print_Area_4" localSheetId="3">#REF!</definedName>
    <definedName name="Excel_BuiltIn_Print_Area_4" localSheetId="15">#REF!</definedName>
    <definedName name="Excel_BuiltIn_Print_Area_4">#REF!</definedName>
    <definedName name="Excel_BuiltIn_Print_Titles_4" localSheetId="14">#REF!</definedName>
    <definedName name="Excel_BuiltIn_Print_Titles_4" localSheetId="16">#REF!</definedName>
    <definedName name="Excel_BuiltIn_Print_Titles_4" localSheetId="12">#REF!</definedName>
    <definedName name="Excel_BuiltIn_Print_Titles_4" localSheetId="8">#REF!</definedName>
    <definedName name="Excel_BuiltIn_Print_Titles_4" localSheetId="3">#REF!</definedName>
    <definedName name="Excel_BuiltIn_Print_Titles_4" localSheetId="15">#REF!</definedName>
    <definedName name="Excel_BuiltIn_Print_Titles_4">#REF!</definedName>
    <definedName name="ExRate" localSheetId="3">#REF!</definedName>
    <definedName name="ExRate">#REF!</definedName>
    <definedName name="Extra_Pay" localSheetId="3">#REF!</definedName>
    <definedName name="Extra_Pay">#REF!</definedName>
    <definedName name="FactorArea" localSheetId="19">#REF!</definedName>
    <definedName name="FactorArea" localSheetId="7">#REF!</definedName>
    <definedName name="FactorArea" localSheetId="3">#REF!</definedName>
    <definedName name="FactorArea">#REF!</definedName>
    <definedName name="FactorAreaDensity" localSheetId="19">#REF!</definedName>
    <definedName name="FactorAreaDensity" localSheetId="7">#REF!</definedName>
    <definedName name="FactorAreaDensity" localSheetId="3">#REF!</definedName>
    <definedName name="FactorAreaDensity">#REF!</definedName>
    <definedName name="FactorHomesPassed" localSheetId="19">#REF!</definedName>
    <definedName name="FactorHomesPassed" localSheetId="7">#REF!</definedName>
    <definedName name="FactorHomesPassed" localSheetId="3">#REF!</definedName>
    <definedName name="FactorHomesPassed">#REF!</definedName>
    <definedName name="FactorLinearDensity" localSheetId="19">#REF!</definedName>
    <definedName name="FactorLinearDensity" localSheetId="7">#REF!</definedName>
    <definedName name="FactorLinearDensity" localSheetId="3">#REF!</definedName>
    <definedName name="FactorLinearDensity">#REF!</definedName>
    <definedName name="FactorSubs" localSheetId="19">#REF!</definedName>
    <definedName name="FactorSubs" localSheetId="7">#REF!</definedName>
    <definedName name="FactorSubs" localSheetId="3">#REF!</definedName>
    <definedName name="FactorSubs">#REF!</definedName>
    <definedName name="FiberPerCabinet" localSheetId="19">#REF!</definedName>
    <definedName name="FiberPerCabinet" localSheetId="7">#REF!</definedName>
    <definedName name="FiberPerCabinet" localSheetId="3">#REF!</definedName>
    <definedName name="FiberPerCabinet">#REF!</definedName>
    <definedName name="FloorHeight" localSheetId="19">#REF!</definedName>
    <definedName name="FloorHeight" localSheetId="7">#REF!</definedName>
    <definedName name="FloorHeight" localSheetId="3">#REF!</definedName>
    <definedName name="FloorHeight">#REF!</definedName>
    <definedName name="Frog" localSheetId="3">#REF!</definedName>
    <definedName name="Frog">#REF!</definedName>
    <definedName name="Full_Print" localSheetId="3">#REF!</definedName>
    <definedName name="Full_Print">#REF!</definedName>
    <definedName name="GBPSWP" localSheetId="3">#REF!</definedName>
    <definedName name="GBPSWP">#REF!</definedName>
    <definedName name="HeadendCostperChnl" localSheetId="19">#REF!</definedName>
    <definedName name="HeadendCostperChnl" localSheetId="7">#REF!</definedName>
    <definedName name="HeadendCostperChnl" localSheetId="3">#REF!</definedName>
    <definedName name="HeadendCostperChnl">#REF!</definedName>
    <definedName name="Header_Row">ROW(#REF!)</definedName>
    <definedName name="HFCnodeCost" localSheetId="19">#REF!</definedName>
    <definedName name="HFCnodeCost" localSheetId="7">#REF!</definedName>
    <definedName name="HFCnodeCost" localSheetId="3">#REF!</definedName>
    <definedName name="HFCnodeCost">#REF!</definedName>
    <definedName name="HFCnodeSize" localSheetId="19">#REF!</definedName>
    <definedName name="HFCnodeSize" localSheetId="7">#REF!</definedName>
    <definedName name="HFCnodeSize" localSheetId="3">#REF!</definedName>
    <definedName name="HFCnodeSize">#REF!</definedName>
    <definedName name="HomesPassed" localSheetId="19">#REF!</definedName>
    <definedName name="HomesPassed" localSheetId="7">#REF!</definedName>
    <definedName name="HomesPassed" localSheetId="3">#REF!</definedName>
    <definedName name="HomesPassed">#REF!</definedName>
    <definedName name="HomesPerRiser" localSheetId="19">#REF!</definedName>
    <definedName name="HomesPerRiser" localSheetId="7">#REF!</definedName>
    <definedName name="HomesPerRiser" localSheetId="3">#REF!</definedName>
    <definedName name="HomesPerRiser">#REF!</definedName>
    <definedName name="HubSize" localSheetId="19">#REF!</definedName>
    <definedName name="HubSize" localSheetId="7">#REF!</definedName>
    <definedName name="HubSize" localSheetId="3">#REF!</definedName>
    <definedName name="HubSize">#REF!</definedName>
    <definedName name="_xlnm.Print_Titles" localSheetId="2">'Calcul VL'!$1:$1</definedName>
    <definedName name="_xlnm.Print_Titles" localSheetId="1">Inventaire!$1:$9</definedName>
    <definedName name="_xlnm.Print_Titles" localSheetId="11">'Liste porteurs selon versement '!$9:$9</definedName>
    <definedName name="_xlnm.Print_Titles" localSheetId="6">PVMV!$1:$4</definedName>
    <definedName name="Int" localSheetId="3">#REF!</definedName>
    <definedName name="Int">#REF!</definedName>
    <definedName name="Interest_Rate" localSheetId="3">#REF!</definedName>
    <definedName name="Interest_Rate">#REF!</definedName>
    <definedName name="Last_Row" localSheetId="19">IF('Balance '!Values_Entered,Header_Row+'Balance '!Number_of_Payments,Header_Row)</definedName>
    <definedName name="Last_Row" localSheetId="16">IF('Capitaux propres'!Values_Entered,Header_Row+'Capitaux propres'!Number_of_Payments,Header_Row)</definedName>
    <definedName name="Last_Row" localSheetId="7">IF(Emprunt!Values_Entered,Header_Row+Emprunt!Number_of_Payments,Header_Row)</definedName>
    <definedName name="Last_Row" localSheetId="3">IF('O.D Rééval'!Values_Entered,Header_Row+'O.D Rééval'!Number_of_Payments,Header_Row)</definedName>
    <definedName name="Last_Row" localSheetId="15">IF(Résultat!Values_Entered,Header_Row+Résultat!Number_of_Payments,Header_Row)</definedName>
    <definedName name="Last_Row" localSheetId="0">IF(Sommaire!Values_Entered,Header_Row+Sommaire!Number_of_Payments,Header_Row)</definedName>
    <definedName name="Last_Row">IF(Values_Entered,Header_Row+Number_of_Payments,Header_Row)</definedName>
    <definedName name="LeadTimeBuildings" localSheetId="19">#REF!</definedName>
    <definedName name="LeadTimeBuildings" localSheetId="7">#REF!</definedName>
    <definedName name="LeadTimeBuildings" localSheetId="3">#REF!</definedName>
    <definedName name="LeadTimeBuildings">#REF!</definedName>
    <definedName name="LeadTimeCable" localSheetId="19">#REF!</definedName>
    <definedName name="LeadTimeCable" localSheetId="7">#REF!</definedName>
    <definedName name="LeadTimeCable" localSheetId="3">#REF!</definedName>
    <definedName name="LeadTimeCable">#REF!</definedName>
    <definedName name="LeadTimeConduit" localSheetId="19">#REF!</definedName>
    <definedName name="LeadTimeConduit" localSheetId="7">#REF!</definedName>
    <definedName name="LeadTimeConduit" localSheetId="3">#REF!</definedName>
    <definedName name="LeadTimeConduit">#REF!</definedName>
    <definedName name="LeadTimeNode" localSheetId="19">#REF!</definedName>
    <definedName name="LeadTimeNode" localSheetId="7">#REF!</definedName>
    <definedName name="LeadTimeNode" localSheetId="3">#REF!</definedName>
    <definedName name="LeadTimeNode">#REF!</definedName>
    <definedName name="LeadTimeSwitch" localSheetId="19">#REF!</definedName>
    <definedName name="LeadTimeSwitch" localSheetId="7">#REF!</definedName>
    <definedName name="LeadTimeSwitch" localSheetId="3">#REF!</definedName>
    <definedName name="LeadTimeSwitch">#REF!</definedName>
    <definedName name="LineExtCost" localSheetId="19">#REF!</definedName>
    <definedName name="LineExtCost" localSheetId="7">#REF!</definedName>
    <definedName name="LineExtCost" localSheetId="3">#REF!</definedName>
    <definedName name="LineExtCost">#REF!</definedName>
    <definedName name="LM" localSheetId="3">#REF!</definedName>
    <definedName name="LM">#REF!</definedName>
    <definedName name="ln_growth" localSheetId="19">#REF!</definedName>
    <definedName name="ln_growth" localSheetId="7">#REF!</definedName>
    <definedName name="ln_growth" localSheetId="3">#REF!</definedName>
    <definedName name="ln_growth">#REF!</definedName>
    <definedName name="Loan_Amount" localSheetId="3">#REF!</definedName>
    <definedName name="Loan_Amount">#REF!</definedName>
    <definedName name="Loan_Start" localSheetId="3">#REF!</definedName>
    <definedName name="Loan_Start">#REF!</definedName>
    <definedName name="Loan_Years" localSheetId="3">#REF!</definedName>
    <definedName name="Loan_Years">#REF!</definedName>
    <definedName name="ls_growth" localSheetId="3">#REF!</definedName>
    <definedName name="ls_growth">#REF!</definedName>
    <definedName name="LVRG" localSheetId="3">#REF!</definedName>
    <definedName name="LVRG">#REF!</definedName>
    <definedName name="NA">"NA "</definedName>
    <definedName name="NM">"NM  "</definedName>
    <definedName name="NodeCost" localSheetId="19">#REF!</definedName>
    <definedName name="NodeCost" localSheetId="7">#REF!</definedName>
    <definedName name="NodeCost" localSheetId="3">#REF!</definedName>
    <definedName name="NodeCost">#REF!</definedName>
    <definedName name="NodeHEP" localSheetId="19">#REF!</definedName>
    <definedName name="NodeHEP" localSheetId="7">#REF!</definedName>
    <definedName name="NodeHEP" localSheetId="3">#REF!</definedName>
    <definedName name="NodeHEP">#REF!</definedName>
    <definedName name="NodeUtil" localSheetId="19">#REF!</definedName>
    <definedName name="NodeUtil" localSheetId="7">#REF!</definedName>
    <definedName name="NodeUtil" localSheetId="3">#REF!</definedName>
    <definedName name="NodeUtil">#REF!</definedName>
    <definedName name="NOMFCPR">#REF!</definedName>
    <definedName name="Num_Pmt_Per_Year" localSheetId="3">#REF!</definedName>
    <definedName name="Num_Pmt_Per_Year">#REF!</definedName>
    <definedName name="Number_of_Payments" localSheetId="19">MATCH(0.01,End_Bal,-1)+1</definedName>
    <definedName name="Number_of_Payments" localSheetId="16">MATCH(0.01,End_Bal,-1)+1</definedName>
    <definedName name="Number_of_Payments" localSheetId="7">MATCH(0.01,End_Bal,-1)+1</definedName>
    <definedName name="Number_of_Payments" localSheetId="3">MATCH(0.01,'O.D Rééval'!End_Bal,-1)+1</definedName>
    <definedName name="Number_of_Payments" localSheetId="15">MATCH(0.01,End_Bal,-1)+1</definedName>
    <definedName name="Number_of_Payments" localSheetId="0">MATCH(0.01,End_Bal,-1)+1</definedName>
    <definedName name="Number_of_Payments">MATCH(0.01,End_Bal,-1)+1</definedName>
    <definedName name="OfficeEquipCost" localSheetId="19">#REF!</definedName>
    <definedName name="OfficeEquipCost" localSheetId="7">#REF!</definedName>
    <definedName name="OfficeEquipCost" localSheetId="3">#REF!</definedName>
    <definedName name="OfficeEquipCost">#REF!</definedName>
    <definedName name="Pay_Date" localSheetId="3">#REF!</definedName>
    <definedName name="Pay_Date">#REF!</definedName>
    <definedName name="Pay_Num" localSheetId="3">#REF!</definedName>
    <definedName name="Pay_Num">#REF!</definedName>
    <definedName name="Payment_Date" localSheetId="19">DATE(YEAR(Loan_Start),MONTH(Loan_Start)+Payment_Number,DAY(Loan_Start))</definedName>
    <definedName name="Payment_Date" localSheetId="16">DATE(YEAR(Loan_Start),MONTH(Loan_Start)+Payment_Number,DAY(Loan_Start))</definedName>
    <definedName name="Payment_Date" localSheetId="7">DATE(YEAR(Loan_Start),MONTH(Loan_Start)+Payment_Number,DAY(Loan_Start))</definedName>
    <definedName name="Payment_Date" localSheetId="3">DATE(YEAR(#REF!),MONTH(#REF!)+Payment_Number,DAY(#REF!))</definedName>
    <definedName name="Payment_Date" localSheetId="15">DATE(YEAR(Loan_Start),MONTH(Loan_Start)+Payment_Number,DAY(Loan_Start))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ersonnel" localSheetId="3">#REF!</definedName>
    <definedName name="Personnel">#REF!</definedName>
    <definedName name="PlanPenetrL1" localSheetId="19">#REF!</definedName>
    <definedName name="PlanPenetrL1" localSheetId="7">#REF!</definedName>
    <definedName name="PlanPenetrL1" localSheetId="3">#REF!</definedName>
    <definedName name="PlanPenetrL1">#REF!</definedName>
    <definedName name="PlanPenetrL2" localSheetId="19">#REF!</definedName>
    <definedName name="PlanPenetrL2" localSheetId="7">#REF!</definedName>
    <definedName name="PlanPenetrL2" localSheetId="3">#REF!</definedName>
    <definedName name="PlanPenetrL2">#REF!</definedName>
    <definedName name="PlanPenetrL3" localSheetId="19">#REF!</definedName>
    <definedName name="PlanPenetrL3" localSheetId="7">#REF!</definedName>
    <definedName name="PlanPenetrL3" localSheetId="3">#REF!</definedName>
    <definedName name="PlanPenetrL3">#REF!</definedName>
    <definedName name="PlanPenetrL4" localSheetId="19">#REF!</definedName>
    <definedName name="PlanPenetrL4" localSheetId="7">#REF!</definedName>
    <definedName name="PlanPenetrL4" localSheetId="3">#REF!</definedName>
    <definedName name="PlanPenetrL4">#REF!</definedName>
    <definedName name="PLPrint" localSheetId="3">#REF!</definedName>
    <definedName name="PLPrint">#REF!</definedName>
    <definedName name="Princ" localSheetId="3">#REF!</definedName>
    <definedName name="Princ">#REF!</definedName>
    <definedName name="Print_Area_Reset" localSheetId="19">OFFSET(Full_Print,0,0,'Balance '!Last_Row)</definedName>
    <definedName name="Print_Area_Reset" localSheetId="16">OFFSET(Full_Print,0,0,'Capitaux propres'!Last_Row)</definedName>
    <definedName name="Print_Area_Reset" localSheetId="7">OFFSET(Full_Print,0,0,Emprunt!Last_Row)</definedName>
    <definedName name="Print_Area_Reset" localSheetId="3">OFFSET('O.D Rééval'!Full_Print,0,0,'O.D Rééval'!Last_Row)</definedName>
    <definedName name="Print_Area_Reset" localSheetId="15">OFFSET(Full_Print,0,0,Résultat!Last_Row)</definedName>
    <definedName name="Print_Area_Reset" localSheetId="0">OFFSET(Full_Print,0,0,Sommaire!Last_Row)</definedName>
    <definedName name="Print_Area_Reset">OFFSET(Full_Print,0,0,Last_Row)</definedName>
    <definedName name="ProFormas" localSheetId="3">#REF!,#REF!</definedName>
    <definedName name="ProFormas">#REF!,#REF!</definedName>
    <definedName name="Prsnl_1" localSheetId="3">#REF!</definedName>
    <definedName name="Prsnl_1">#REF!</definedName>
    <definedName name="Prsnl_2" localSheetId="3">#REF!</definedName>
    <definedName name="Prsnl_2">#REF!</definedName>
    <definedName name="Prsnl_3" localSheetId="3">#REF!</definedName>
    <definedName name="Prsnl_3">#REF!</definedName>
    <definedName name="Prsnl_4" localSheetId="3">#REF!</definedName>
    <definedName name="Prsnl_4">#REF!</definedName>
    <definedName name="Prsnl_5" localSheetId="3">#REF!</definedName>
    <definedName name="Prsnl_5">#REF!</definedName>
    <definedName name="Prsnl_6" localSheetId="3">#REF!</definedName>
    <definedName name="Prsnl_6">#REF!</definedName>
    <definedName name="Prsnl_7" localSheetId="3">#REF!</definedName>
    <definedName name="Prsnl_7">#REF!</definedName>
    <definedName name="radiobutton" localSheetId="19">#REF!</definedName>
    <definedName name="radiobutton" localSheetId="7">#REF!</definedName>
    <definedName name="radiobutton" localSheetId="3">#REF!</definedName>
    <definedName name="radiobutton">#REF!</definedName>
    <definedName name="RATE" localSheetId="3">#REF!</definedName>
    <definedName name="RATE">#REF!</definedName>
    <definedName name="Reinvest" localSheetId="19">#REF!</definedName>
    <definedName name="Reinvest" localSheetId="7">#REF!</definedName>
    <definedName name="Reinvest" localSheetId="3">#REF!</definedName>
    <definedName name="Reinvest">#REF!</definedName>
    <definedName name="ReinvestBox" localSheetId="19">#REF!</definedName>
    <definedName name="ReinvestBox" localSheetId="7">#REF!</definedName>
    <definedName name="ReinvestBox" localSheetId="3">#REF!</definedName>
    <definedName name="ReinvestBox">#REF!</definedName>
    <definedName name="ReinvestCar" localSheetId="19">#REF!</definedName>
    <definedName name="ReinvestCar" localSheetId="7">#REF!</definedName>
    <definedName name="ReinvestCar" localSheetId="3">#REF!</definedName>
    <definedName name="ReinvestCar">#REF!</definedName>
    <definedName name="ReinvestComputer" localSheetId="19">#REF!</definedName>
    <definedName name="ReinvestComputer" localSheetId="7">#REF!</definedName>
    <definedName name="ReinvestComputer" localSheetId="3">#REF!</definedName>
    <definedName name="ReinvestComputer">#REF!</definedName>
    <definedName name="ReinvestSchedule" localSheetId="3">#REF!</definedName>
    <definedName name="ReinvestSchedule">#REF!</definedName>
    <definedName name="ResidentialLines" localSheetId="19">#REF!</definedName>
    <definedName name="ResidentialLines" localSheetId="7">#REF!</definedName>
    <definedName name="ResidentialLines" localSheetId="3">#REF!</definedName>
    <definedName name="ResidentialLines">#REF!</definedName>
    <definedName name="ResidentialPassed" localSheetId="19">#REF!</definedName>
    <definedName name="ResidentialPassed" localSheetId="7">#REF!</definedName>
    <definedName name="ResidentialPassed" localSheetId="3">#REF!</definedName>
    <definedName name="ResidentialPassed">#REF!</definedName>
    <definedName name="Resultatcumulev2" localSheetId="19">#REF!</definedName>
    <definedName name="Resultatcumulev2" localSheetId="7">#REF!</definedName>
    <definedName name="Resultatcumulev2" localSheetId="3">#REF!</definedName>
    <definedName name="Resultatcumulev2">#REF!</definedName>
    <definedName name="RiserCoaxLabor" localSheetId="19">#REF!</definedName>
    <definedName name="RiserCoaxLabor" localSheetId="7">#REF!</definedName>
    <definedName name="RiserCoaxLabor" localSheetId="3">#REF!</definedName>
    <definedName name="RiserCoaxLabor">#REF!</definedName>
    <definedName name="RiserCoaxMaterial" localSheetId="19">#REF!</definedName>
    <definedName name="RiserCoaxMaterial" localSheetId="7">#REF!</definedName>
    <definedName name="RiserCoaxMaterial" localSheetId="3">#REF!</definedName>
    <definedName name="RiserCoaxMaterial">#REF!</definedName>
    <definedName name="saisie">#REF!,#REF!,#REF!,#REF!,#REF!,#REF!,#REF!,#REF!,#REF!</definedName>
    <definedName name="Salary_change" localSheetId="3">#REF!</definedName>
    <definedName name="Salary_change">#REF!</definedName>
    <definedName name="Sched_Pay" localSheetId="3">#REF!</definedName>
    <definedName name="Sched_Pay">#REF!</definedName>
    <definedName name="Scheduled_Extra_Payments" localSheetId="3">#REF!</definedName>
    <definedName name="Scheduled_Extra_Payments">#REF!</definedName>
    <definedName name="Scheduled_Interest_Rate" localSheetId="3">#REF!</definedName>
    <definedName name="Scheduled_Interest_Rate">#REF!</definedName>
    <definedName name="Scheduled_Monthly_Payment" localSheetId="3">#REF!</definedName>
    <definedName name="Scheduled_Monthly_Payment">#REF!</definedName>
    <definedName name="SDHcostPerHub" localSheetId="19">#REF!</definedName>
    <definedName name="SDHcostPerHub" localSheetId="7">#REF!</definedName>
    <definedName name="SDHcostPerHub" localSheetId="3">#REF!</definedName>
    <definedName name="SDHcostPerHub">#REF!</definedName>
    <definedName name="SDHcostPerSystem" localSheetId="19">#REF!</definedName>
    <definedName name="SDHcostPerSystem" localSheetId="7">#REF!</definedName>
    <definedName name="SDHcostPerSystem" localSheetId="3">#REF!</definedName>
    <definedName name="SDHcostPerSystem">#REF!</definedName>
    <definedName name="SEK" localSheetId="19">#REF!</definedName>
    <definedName name="SEK" localSheetId="7">#REF!</definedName>
    <definedName name="SEK" localSheetId="3">#REF!</definedName>
    <definedName name="SEK">#REF!</definedName>
    <definedName name="sek€" localSheetId="19">#REF!</definedName>
    <definedName name="sek€" localSheetId="7">#REF!</definedName>
    <definedName name="sek€" localSheetId="3">#REF!</definedName>
    <definedName name="sek€">#REF!</definedName>
    <definedName name="SEKSWP" localSheetId="3">#REF!</definedName>
    <definedName name="SEKSWP">#REF!</definedName>
    <definedName name="SQMcost" localSheetId="19">#REF!</definedName>
    <definedName name="SQMcost" localSheetId="7">#REF!</definedName>
    <definedName name="SQMcost" localSheetId="3">#REF!</definedName>
    <definedName name="SQMcost">#REF!</definedName>
    <definedName name="stg" localSheetId="19">#REF!</definedName>
    <definedName name="stg" localSheetId="7">#REF!</definedName>
    <definedName name="stg" localSheetId="3">#REF!</definedName>
    <definedName name="stg">#REF!</definedName>
    <definedName name="SwitchCostPerLine" localSheetId="19">#REF!</definedName>
    <definedName name="SwitchCostPerLine" localSheetId="7">#REF!</definedName>
    <definedName name="SwitchCostPerLine" localSheetId="3">#REF!</definedName>
    <definedName name="SwitchCostPerLine">#REF!</definedName>
    <definedName name="SwitchLinesMax" localSheetId="19">#REF!</definedName>
    <definedName name="SwitchLinesMax" localSheetId="7">#REF!</definedName>
    <definedName name="SwitchLinesMax" localSheetId="3">#REF!</definedName>
    <definedName name="SwitchLinesMax">#REF!</definedName>
    <definedName name="SwitchLinesMin" localSheetId="19">#REF!</definedName>
    <definedName name="SwitchLinesMin" localSheetId="7">#REF!</definedName>
    <definedName name="SwitchLinesMin" localSheetId="3">#REF!</definedName>
    <definedName name="SwitchLinesMin">#REF!</definedName>
    <definedName name="SwitchUtil" localSheetId="19">#REF!</definedName>
    <definedName name="SwitchUtil" localSheetId="7">#REF!</definedName>
    <definedName name="SwitchUtil" localSheetId="3">#REF!</definedName>
    <definedName name="SwitchUtil">#REF!</definedName>
    <definedName name="TCPdropLabor" localSheetId="19">#REF!</definedName>
    <definedName name="TCPdropLabor" localSheetId="7">#REF!</definedName>
    <definedName name="TCPdropLabor" localSheetId="3">#REF!</definedName>
    <definedName name="TCPdropLabor">#REF!</definedName>
    <definedName name="TCPdropMaterial" localSheetId="19">#REF!</definedName>
    <definedName name="TCPdropMaterial" localSheetId="7">#REF!</definedName>
    <definedName name="TCPdropMaterial" localSheetId="3">#REF!</definedName>
    <definedName name="TCPdropMaterial">#REF!</definedName>
    <definedName name="TelcoChurnRate" localSheetId="19">#REF!</definedName>
    <definedName name="TelcoChurnRate" localSheetId="7">#REF!</definedName>
    <definedName name="TelcoChurnRate" localSheetId="3">#REF!</definedName>
    <definedName name="TelcoChurnRate">#REF!</definedName>
    <definedName name="TelcoSubscribers" localSheetId="19">#REF!</definedName>
    <definedName name="TelcoSubscribers" localSheetId="7">#REF!</definedName>
    <definedName name="TelcoSubscribers" localSheetId="3">#REF!</definedName>
    <definedName name="TelcoSubscribers">#REF!</definedName>
    <definedName name="TelcoWithCATV" localSheetId="19">#REF!</definedName>
    <definedName name="TelcoWithCATV" localSheetId="7">#REF!</definedName>
    <definedName name="TelcoWithCATV" localSheetId="3">#REF!</definedName>
    <definedName name="TelcoWithCATV">#REF!</definedName>
    <definedName name="Total_Interest" localSheetId="3">#REF!</definedName>
    <definedName name="Total_Interest">#REF!</definedName>
    <definedName name="Total_Pay" localSheetId="3">#REF!</definedName>
    <definedName name="Total_Pay">#REF!</definedName>
    <definedName name="Total_Payment" localSheetId="19">Scheduled_Payment+Extra_Payment</definedName>
    <definedName name="Total_Payment" localSheetId="16">Scheduled_Payment+Extra_Payment</definedName>
    <definedName name="Total_Payment" localSheetId="7">Scheduled_Payment+Extra_Payment</definedName>
    <definedName name="Total_Payment" localSheetId="3">Scheduled_Payment+Extra_Payment</definedName>
    <definedName name="Total_Payment" localSheetId="15">Scheduled_Payment+Extra_Payment</definedName>
    <definedName name="Total_Payment" localSheetId="0">Scheduled_Payment+Extra_Payment</definedName>
    <definedName name="Total_Payment">Scheduled_Payment+Extra_Payment</definedName>
    <definedName name="TotalStaff" localSheetId="19">#REF!</definedName>
    <definedName name="TotalStaff" localSheetId="7">#REF!</definedName>
    <definedName name="TotalStaff" localSheetId="3">#REF!</definedName>
    <definedName name="TotalStaff">#REF!</definedName>
    <definedName name="TwistedPairLabor" localSheetId="19">#REF!</definedName>
    <definedName name="TwistedPairLabor" localSheetId="7">#REF!</definedName>
    <definedName name="TwistedPairLabor" localSheetId="3">#REF!</definedName>
    <definedName name="TwistedPairLabor">#REF!</definedName>
    <definedName name="TwistedPairMaterial" localSheetId="19">#REF!</definedName>
    <definedName name="TwistedPairMaterial" localSheetId="7">#REF!</definedName>
    <definedName name="TwistedPairMaterial" localSheetId="3">#REF!</definedName>
    <definedName name="TwistedPairMaterial">#REF!</definedName>
    <definedName name="UnderCoaxLabor" localSheetId="19">#REF!</definedName>
    <definedName name="UnderCoaxLabor" localSheetId="7">#REF!</definedName>
    <definedName name="UnderCoaxLabor" localSheetId="3">#REF!</definedName>
    <definedName name="UnderCoaxLabor">#REF!</definedName>
    <definedName name="UnderCoaxMaterial" localSheetId="19">#REF!</definedName>
    <definedName name="UnderCoaxMaterial" localSheetId="7">#REF!</definedName>
    <definedName name="UnderCoaxMaterial" localSheetId="3">#REF!</definedName>
    <definedName name="UnderCoaxMaterial">#REF!</definedName>
    <definedName name="UnderFiberLabor" localSheetId="19">#REF!</definedName>
    <definedName name="UnderFiberLabor" localSheetId="7">#REF!</definedName>
    <definedName name="UnderFiberLabor" localSheetId="3">#REF!</definedName>
    <definedName name="UnderFiberLabor">#REF!</definedName>
    <definedName name="UnderFiberMaterial" localSheetId="19">#REF!</definedName>
    <definedName name="UnderFiberMaterial" localSheetId="7">#REF!</definedName>
    <definedName name="UnderFiberMaterial" localSheetId="3">#REF!</definedName>
    <definedName name="UnderFiberMaterial">#REF!</definedName>
    <definedName name="USDSWP" localSheetId="3">#REF!</definedName>
    <definedName name="USDSWP">#REF!</definedName>
    <definedName name="Values_Entered" localSheetId="19">IF(Loan_Amount*Interest_Rate*Loan_Years*Loan_Start&gt;0,1,0)</definedName>
    <definedName name="Values_Entered" localSheetId="16">IF(Loan_Amount*Interest_Rate*Loan_Years*Loan_Start&gt;0,1,0)</definedName>
    <definedName name="Values_Entered" localSheetId="7">IF(Loan_Amount*Interest_Rate*Loan_Years*Loan_Start&gt;0,1,0)</definedName>
    <definedName name="Values_Entered" localSheetId="3">IF('O.D Rééval'!Loan_Amount*'O.D Rééval'!Interest_Rate*'O.D Rééval'!Loan_Years*'O.D Rééval'!Loan_Start&gt;0,1,0)</definedName>
    <definedName name="Values_Entered" localSheetId="15">IF(Loan_Amount*Interest_Rate*Loan_Years*Loan_Start&gt;0,1,0)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ehicleCost" localSheetId="19">#REF!</definedName>
    <definedName name="VehicleCost" localSheetId="7">#REF!</definedName>
    <definedName name="VehicleCost" localSheetId="3">#REF!</definedName>
    <definedName name="VehicleCost">#REF!</definedName>
    <definedName name="VehicleStaff" localSheetId="19">#REF!</definedName>
    <definedName name="VehicleStaff" localSheetId="7">#REF!</definedName>
    <definedName name="VehicleStaff" localSheetId="3">#REF!</definedName>
    <definedName name="VehicleStaff">#REF!</definedName>
    <definedName name="VendorInstall" localSheetId="19">#REF!</definedName>
    <definedName name="VendorInstall" localSheetId="7">#REF!</definedName>
    <definedName name="VendorInstall" localSheetId="3">#REF!</definedName>
    <definedName name="VendorInstall">#REF!</definedName>
    <definedName name="WACC" localSheetId="19">#REF!</definedName>
    <definedName name="WACC" localSheetId="7">#REF!</definedName>
    <definedName name="WACC" localSheetId="3">#REF!</definedName>
    <definedName name="WACC">#REF!</definedName>
    <definedName name="wrn.BUILD." localSheetId="19" hidden="1">{"BUILD",#N/A,TRUE,"NI";"BUILD",#N/A,TRUE,"Surrey";"BUILD",#N/A,TRUE,"Herts &amp; Beds";"BUILD",#N/A,TRUE,"Glasgow";"BUILD",#N/A,TRUE,"Kirklees";"BUILD",#N/A,TRUE,"S Wales";"BUILD",#N/A,TRUE,"UK"}</definedName>
    <definedName name="wrn.BUILD." localSheetId="16" hidden="1">{"BUILD",#N/A,TRUE,"NI";"BUILD",#N/A,TRUE,"Surrey";"BUILD",#N/A,TRUE,"Herts &amp; Beds";"BUILD",#N/A,TRUE,"Glasgow";"BUILD",#N/A,TRUE,"Kirklees";"BUILD",#N/A,TRUE,"S Wales";"BUILD",#N/A,TRUE,"UK"}</definedName>
    <definedName name="wrn.BUILD." localSheetId="7" hidden="1">{"BUILD",#N/A,TRUE,"NI";"BUILD",#N/A,TRUE,"Surrey";"BUILD",#N/A,TRUE,"Herts &amp; Beds";"BUILD",#N/A,TRUE,"Glasgow";"BUILD",#N/A,TRUE,"Kirklees";"BUILD",#N/A,TRUE,"S Wales";"BUILD",#N/A,TRUE,"UK"}</definedName>
    <definedName name="wrn.BUILD." localSheetId="3" hidden="1">{"BUILD",#N/A,TRUE,"NI";"BUILD",#N/A,TRUE,"Surrey";"BUILD",#N/A,TRUE,"Herts &amp; Beds";"BUILD",#N/A,TRUE,"Glasgow";"BUILD",#N/A,TRUE,"Kirklees";"BUILD",#N/A,TRUE,"S Wales";"BUILD",#N/A,TRUE,"UK"}</definedName>
    <definedName name="wrn.BUILD." localSheetId="15" hidden="1">{"BUILD",#N/A,TRUE,"NI";"BUILD",#N/A,TRUE,"Surrey";"BUILD",#N/A,TRUE,"Herts &amp; Beds";"BUILD",#N/A,TRUE,"Glasgow";"BUILD",#N/A,TRUE,"Kirklees";"BUILD",#N/A,TRUE,"S Wales";"BUILD",#N/A,TRUE,"UK"}</definedName>
    <definedName name="wrn.BUILD." localSheetId="0" hidden="1">{"BUILD",#N/A,TRUE,"NI";"BUILD",#N/A,TRUE,"Surrey";"BUILD",#N/A,TRUE,"Herts &amp; Beds";"BUILD",#N/A,TRUE,"Glasgow";"BUILD",#N/A,TRUE,"Kirklees";"BUILD",#N/A,TRUE,"S Wales";"BUILD",#N/A,TRUE,"UK"}</definedName>
    <definedName name="wrn.BUILD." hidden="1">{"BUILD",#N/A,TRUE,"NI";"BUILD",#N/A,TRUE,"Surrey";"BUILD",#N/A,TRUE,"Herts &amp; Beds";"BUILD",#N/A,TRUE,"Glasgow";"BUILD",#N/A,TRUE,"Kirklees";"BUILD",#N/A,TRUE,"S Wales";"BUILD",#N/A,TRUE,"UK"}</definedName>
    <definedName name="wrn.Complete." localSheetId="19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6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7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3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5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DCF._.Only." localSheetId="19" hidden="1">{#N/A,#N/A,FALSE,"DCF Summary";#N/A,#N/A,FALSE,"Casema";#N/A,#N/A,FALSE,"Casema NoTel";#N/A,#N/A,FALSE,"UK";#N/A,#N/A,FALSE,"RCF";#N/A,#N/A,FALSE,"Intercable CZ";#N/A,#N/A,FALSE,"Interkabel P"}</definedName>
    <definedName name="wrn.DCF._.Only." localSheetId="16" hidden="1">{#N/A,#N/A,FALSE,"DCF Summary";#N/A,#N/A,FALSE,"Casema";#N/A,#N/A,FALSE,"Casema NoTel";#N/A,#N/A,FALSE,"UK";#N/A,#N/A,FALSE,"RCF";#N/A,#N/A,FALSE,"Intercable CZ";#N/A,#N/A,FALSE,"Interkabel P"}</definedName>
    <definedName name="wrn.DCF._.Only." localSheetId="7" hidden="1">{#N/A,#N/A,FALSE,"DCF Summary";#N/A,#N/A,FALSE,"Casema";#N/A,#N/A,FALSE,"Casema NoTel";#N/A,#N/A,FALSE,"UK";#N/A,#N/A,FALSE,"RCF";#N/A,#N/A,FALSE,"Intercable CZ";#N/A,#N/A,FALSE,"Interkabel P"}</definedName>
    <definedName name="wrn.DCF._.Only." localSheetId="3" hidden="1">{#N/A,#N/A,FALSE,"DCF Summary";#N/A,#N/A,FALSE,"Casema";#N/A,#N/A,FALSE,"Casema NoTel";#N/A,#N/A,FALSE,"UK";#N/A,#N/A,FALSE,"RCF";#N/A,#N/A,FALSE,"Intercable CZ";#N/A,#N/A,FALSE,"Interkabel P"}</definedName>
    <definedName name="wrn.DCF._.Only." localSheetId="15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sum1." localSheetId="19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16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7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3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15" hidden="1">{"sum1",#N/A,FALSE,"Grand Total";"sum1",#N/A,FALSE,"CAs";"sum1",#N/A,FALSE,"HWSCo1T";"sum1",#N/A,FALSE,"WSCo";"sum1",#N/A,FALSE,"FL";"sum1",#N/A,FALSE,"DTT";"sum1",#N/A,FALSE,"DAB";"sum1",#N/A,FALSE,"HSCo"}</definedName>
    <definedName name="wrn.sum1." localSheetId="0" hidden="1">{"sum1",#N/A,FALSE,"Grand Total";"sum1",#N/A,FALSE,"CAs";"sum1",#N/A,FALSE,"HWSCo1T";"sum1",#N/A,FALSE,"WSCo";"sum1",#N/A,FALSE,"FL";"sum1",#N/A,FALSE,"DTT";"sum1",#N/A,FALSE,"DAB";"sum1",#N/A,FALSE,"HSCo"}</definedName>
    <definedName name="wrn.sum1." hidden="1">{"sum1",#N/A,FALSE,"Grand Total";"sum1",#N/A,FALSE,"CAs";"sum1",#N/A,FALSE,"HWSCo1T";"sum1",#N/A,FALSE,"WSCo";"sum1",#N/A,FALSE,"FL";"sum1",#N/A,FALSE,"DTT";"sum1",#N/A,FALSE,"DAB";"sum1",#N/A,FALSE,"HSCo"}</definedName>
    <definedName name="wrn.summary." localSheetId="19" hidden="1">{"Key Stats",#N/A,TRUE,"Key Stats";"RES REVENUES",#N/A,TRUE,"Residential Revenue";"capex",#N/A,TRUE,"CableTel";"p and l",#N/A,TRUE,"CableTel"}</definedName>
    <definedName name="wrn.summary." localSheetId="16" hidden="1">{"Key Stats",#N/A,TRUE,"Key Stats";"RES REVENUES",#N/A,TRUE,"Residential Revenue";"capex",#N/A,TRUE,"CableTel";"p and l",#N/A,TRUE,"CableTel"}</definedName>
    <definedName name="wrn.summary." localSheetId="7" hidden="1">{"Key Stats",#N/A,TRUE,"Key Stats";"RES REVENUES",#N/A,TRUE,"Residential Revenue";"capex",#N/A,TRUE,"CableTel";"p and l",#N/A,TRUE,"CableTel"}</definedName>
    <definedName name="wrn.summary." localSheetId="3" hidden="1">{"Key Stats",#N/A,TRUE,"Key Stats";"RES REVENUES",#N/A,TRUE,"Residential Revenue";"capex",#N/A,TRUE,"CableTel";"p and l",#N/A,TRUE,"CableTel"}</definedName>
    <definedName name="wrn.summary." localSheetId="15" hidden="1">{"Key Stats",#N/A,TRUE,"Key Stats";"RES REVENUES",#N/A,TRUE,"Residential Revenue";"capex",#N/A,TRUE,"CableTel";"p and l",#N/A,TRUE,"CableTel"}</definedName>
    <definedName name="wrn.summary." localSheetId="0" hidden="1">{"Key Stats",#N/A,TRUE,"Key Stats";"RES REVENUES",#N/A,TRUE,"Residential Revenue";"capex",#N/A,TRUE,"CableTel";"p and l",#N/A,TRUE,"CableTel"}</definedName>
    <definedName name="wrn.summary." hidden="1">{"Key Stats",#N/A,TRUE,"Key Stats";"RES REVENUES",#N/A,TRUE,"Residential Revenue";"capex",#N/A,TRUE,"CableTel";"p and l",#N/A,TRUE,"CableTel"}</definedName>
    <definedName name="WRNT" localSheetId="19">#REF!</definedName>
    <definedName name="WRNT" localSheetId="7">#REF!</definedName>
    <definedName name="WRNT" localSheetId="3">#REF!</definedName>
    <definedName name="WRNT">#REF!</definedName>
    <definedName name="WTNG" localSheetId="3">#REF!</definedName>
    <definedName name="WTNG">#REF!</definedName>
    <definedName name="_xlnm.Print_Area" localSheetId="14">Bilan!$A$1:$K$101</definedName>
    <definedName name="_xlnm.Print_Area" localSheetId="2">'Calcul VL'!$A$1:$G$15</definedName>
    <definedName name="_xlnm.Print_Area" localSheetId="16">'Capitaux propres'!$A$1:$G$40</definedName>
    <definedName name="_xlnm.Print_Area" localSheetId="13">'Créances_&amp;_dettes'!$A$1:$H$61</definedName>
    <definedName name="_xlnm.Print_Area" localSheetId="7">Emprunt!$B$1:$L$71</definedName>
    <definedName name="_xlnm.Print_Area" localSheetId="12">'Frais de gestion'!$A$1:$I$114</definedName>
    <definedName name="_xlnm.Print_Area" localSheetId="5">'Hors bilan'!$A$1:$K$45</definedName>
    <definedName name="_xlnm.Print_Area" localSheetId="8">'Intérêts CC'!$A$1:$M$4</definedName>
    <definedName name="_xlnm.Print_Area" localSheetId="9">'Intérêts OC'!$A$1:$O$2</definedName>
    <definedName name="_xlnm.Print_Area" localSheetId="1">Inventaire!$B$1:$P$45</definedName>
    <definedName name="_xlnm.Print_Area" localSheetId="11">'Liste porteurs selon versement '!$A$1:$F$49</definedName>
    <definedName name="_xlnm.Print_Area" localSheetId="3">'O.D Rééval'!$A$1:$H$130</definedName>
    <definedName name="_xlnm.Print_Area" localSheetId="6">PVMV!$A$1:$P$30</definedName>
    <definedName name="_xlnm.Print_Area" localSheetId="18">'Rappro Balance'!$A$1:$H$34</definedName>
    <definedName name="_xlnm.Print_Area" localSheetId="17">'Rappro Banque'!$A$1:$H$18</definedName>
    <definedName name="_xlnm.Print_Area" localSheetId="4">'Rappro Titres &amp; Parts'!$A$1:$K$31</definedName>
    <definedName name="_xlnm.Print_Area" localSheetId="15">Résultat!$A$1:$J$205</definedName>
    <definedName name="_xlnm.Print_Area" localSheetId="0">Sommaire!$A$1:$C$65</definedName>
    <definedName name="_xlnm.Print_Area" localSheetId="10">'Sous-Rachat'!$A$1:$AD$56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7" l="1"/>
  <c r="D29" i="47"/>
  <c r="C29" i="47"/>
  <c r="G59" i="40"/>
  <c r="C82" i="60"/>
  <c r="C83" i="60" s="1"/>
  <c r="C84" i="60" s="1"/>
  <c r="G84" i="60" s="1"/>
  <c r="G85" i="60"/>
  <c r="G82" i="60"/>
  <c r="G63" i="60"/>
  <c r="H63" i="60" s="1"/>
  <c r="G49" i="60"/>
  <c r="H49" i="60" s="1"/>
  <c r="G48" i="60"/>
  <c r="H48" i="60" s="1"/>
  <c r="G47" i="60"/>
  <c r="H47" i="60" s="1"/>
  <c r="G46" i="60"/>
  <c r="H46" i="60" s="1"/>
  <c r="K16" i="2"/>
  <c r="G83" i="60" l="1"/>
  <c r="B1" i="2"/>
  <c r="H1" i="2"/>
  <c r="G16" i="2" s="1"/>
  <c r="F8" i="2"/>
  <c r="E8" i="2" s="1"/>
  <c r="G8" i="2"/>
  <c r="C16" i="2"/>
  <c r="D16" i="2"/>
  <c r="S16" i="2" s="1"/>
  <c r="E16" i="2"/>
  <c r="H16" i="2"/>
  <c r="J16" i="2"/>
  <c r="J18" i="2" s="1"/>
  <c r="J27" i="2" s="1"/>
  <c r="J30" i="2" s="1"/>
  <c r="H18" i="2"/>
  <c r="I18" i="2"/>
  <c r="I27" i="2" s="1"/>
  <c r="I30" i="2" s="1"/>
  <c r="M18" i="2"/>
  <c r="M27" i="2" s="1"/>
  <c r="M30" i="2" s="1"/>
  <c r="H24" i="2"/>
  <c r="I24" i="2"/>
  <c r="J24" i="2"/>
  <c r="K24" i="2"/>
  <c r="L24" i="2"/>
  <c r="N24" i="2"/>
  <c r="H27" i="2"/>
  <c r="H30" i="2"/>
  <c r="D42" i="2"/>
  <c r="D57" i="2"/>
  <c r="G57" i="2" s="1"/>
  <c r="E59" i="2"/>
  <c r="F59" i="2"/>
  <c r="N16" i="2" l="1"/>
  <c r="L16" i="2" l="1"/>
  <c r="L18" i="2" s="1"/>
  <c r="L27" i="2" s="1"/>
  <c r="K18" i="2"/>
  <c r="K27" i="2" s="1"/>
  <c r="K30" i="2" s="1"/>
  <c r="L30" i="2" l="1"/>
  <c r="I22" i="37"/>
  <c r="R16" i="2"/>
  <c r="N18" i="2"/>
  <c r="N27" i="2" s="1"/>
  <c r="N30" i="2" s="1"/>
  <c r="D34" i="2" s="1"/>
  <c r="D49" i="2" l="1"/>
  <c r="G49" i="2" l="1"/>
  <c r="B21" i="42" l="1"/>
  <c r="D31" i="86"/>
  <c r="D30" i="86"/>
  <c r="D7" i="86"/>
  <c r="D6" i="86"/>
  <c r="C9" i="43"/>
  <c r="G41" i="40"/>
  <c r="G48" i="40"/>
  <c r="G55" i="40"/>
  <c r="G28" i="40"/>
  <c r="G19" i="60"/>
  <c r="C20" i="60"/>
  <c r="C21" i="60" s="1"/>
  <c r="I36" i="84"/>
  <c r="I40" i="84"/>
  <c r="I25" i="84"/>
  <c r="D27" i="37"/>
  <c r="D26" i="37"/>
  <c r="D24" i="37"/>
  <c r="D23" i="37"/>
  <c r="D21" i="37"/>
  <c r="D20" i="37"/>
  <c r="D13" i="37"/>
  <c r="D12" i="37"/>
  <c r="D10" i="37"/>
  <c r="D9" i="37"/>
  <c r="D7" i="37"/>
  <c r="D6" i="37"/>
  <c r="H180" i="85"/>
  <c r="H179" i="85"/>
  <c r="H178" i="85"/>
  <c r="H173" i="85"/>
  <c r="H169" i="85"/>
  <c r="H168" i="85"/>
  <c r="H167" i="85"/>
  <c r="H166" i="85"/>
  <c r="H165" i="85"/>
  <c r="H164" i="85"/>
  <c r="H163" i="85"/>
  <c r="H162" i="85"/>
  <c r="H161" i="85"/>
  <c r="H160" i="85"/>
  <c r="H159" i="85"/>
  <c r="H158" i="85"/>
  <c r="H157" i="85"/>
  <c r="H156" i="85"/>
  <c r="H155" i="85"/>
  <c r="H154" i="85"/>
  <c r="H151" i="85"/>
  <c r="H150" i="85"/>
  <c r="H143" i="85"/>
  <c r="H138" i="85"/>
  <c r="H137" i="85"/>
  <c r="H135" i="85"/>
  <c r="H134" i="85"/>
  <c r="H131" i="85"/>
  <c r="H130" i="85"/>
  <c r="H129" i="85"/>
  <c r="H128" i="85"/>
  <c r="H127" i="85"/>
  <c r="H126" i="85"/>
  <c r="H125" i="85"/>
  <c r="H124" i="85"/>
  <c r="H123" i="85"/>
  <c r="H122" i="85"/>
  <c r="H121" i="85"/>
  <c r="H120" i="85"/>
  <c r="H119" i="85"/>
  <c r="H118" i="85"/>
  <c r="H115" i="85"/>
  <c r="H114" i="85"/>
  <c r="H113" i="85"/>
  <c r="H112" i="85"/>
  <c r="H111" i="85"/>
  <c r="H110" i="85"/>
  <c r="H109" i="85"/>
  <c r="H108" i="85"/>
  <c r="H107" i="85"/>
  <c r="H106" i="85"/>
  <c r="H105" i="85"/>
  <c r="H104" i="85"/>
  <c r="H96" i="85"/>
  <c r="H90" i="85"/>
  <c r="H89" i="85"/>
  <c r="H88" i="85"/>
  <c r="H87" i="85"/>
  <c r="H86" i="85"/>
  <c r="H85" i="85"/>
  <c r="H84" i="85"/>
  <c r="H83" i="85"/>
  <c r="H81" i="85"/>
  <c r="H80" i="85"/>
  <c r="H79" i="85"/>
  <c r="H78" i="85"/>
  <c r="H77" i="85"/>
  <c r="H76" i="85"/>
  <c r="H75" i="85"/>
  <c r="H71" i="85"/>
  <c r="H70" i="85"/>
  <c r="H69" i="85"/>
  <c r="H68" i="85"/>
  <c r="H60" i="85"/>
  <c r="H58" i="85"/>
  <c r="H55" i="85"/>
  <c r="H54" i="85"/>
  <c r="H45" i="85"/>
  <c r="H42" i="85"/>
  <c r="H41" i="85"/>
  <c r="H40" i="85"/>
  <c r="H37" i="85"/>
  <c r="H34" i="85"/>
  <c r="H31" i="85"/>
  <c r="H30" i="85"/>
  <c r="H27" i="85"/>
  <c r="H24" i="85"/>
  <c r="H23" i="85"/>
  <c r="H22" i="85"/>
  <c r="H19" i="85"/>
  <c r="H18" i="85"/>
  <c r="H17" i="85"/>
  <c r="F9" i="85"/>
  <c r="I48" i="84"/>
  <c r="I23" i="84"/>
  <c r="I18" i="84"/>
  <c r="U17" i="68"/>
  <c r="AA17" i="68" s="1"/>
  <c r="X17" i="68" s="1"/>
  <c r="V17" i="68"/>
  <c r="Y17" i="68"/>
  <c r="Z17" i="68" s="1"/>
  <c r="U18" i="68"/>
  <c r="AA18" i="68" s="1"/>
  <c r="X18" i="68" s="1"/>
  <c r="V18" i="68"/>
  <c r="Y18" i="68"/>
  <c r="U19" i="68"/>
  <c r="AA19" i="68" s="1"/>
  <c r="V19" i="68"/>
  <c r="Y19" i="68"/>
  <c r="U20" i="68"/>
  <c r="V20" i="68"/>
  <c r="Y20" i="68"/>
  <c r="AA20" i="68"/>
  <c r="X20" i="68" s="1"/>
  <c r="U21" i="68"/>
  <c r="V21" i="68"/>
  <c r="Y21" i="68"/>
  <c r="AA21" i="68"/>
  <c r="U22" i="68"/>
  <c r="AA22" i="68" s="1"/>
  <c r="V22" i="68"/>
  <c r="Y22" i="68"/>
  <c r="Z22" i="68" s="1"/>
  <c r="U23" i="68"/>
  <c r="AA23" i="68" s="1"/>
  <c r="Z23" i="68" s="1"/>
  <c r="V23" i="68"/>
  <c r="Y23" i="68"/>
  <c r="U28" i="68"/>
  <c r="U29" i="68" s="1"/>
  <c r="V28" i="68"/>
  <c r="V29" i="68" s="1"/>
  <c r="Y28" i="68"/>
  <c r="Y29" i="68" s="1"/>
  <c r="AA28" i="68"/>
  <c r="AA29" i="68" s="1"/>
  <c r="Y16" i="68"/>
  <c r="U16" i="68"/>
  <c r="AA16" i="68" s="1"/>
  <c r="V16" i="68"/>
  <c r="I17" i="68"/>
  <c r="I24" i="68" s="1"/>
  <c r="I31" i="68" s="1"/>
  <c r="I18" i="68"/>
  <c r="I19" i="68"/>
  <c r="I20" i="68"/>
  <c r="I21" i="68"/>
  <c r="I22" i="68"/>
  <c r="I23" i="68"/>
  <c r="I16" i="68"/>
  <c r="H29" i="68"/>
  <c r="H28" i="68"/>
  <c r="G24" i="68"/>
  <c r="H17" i="68"/>
  <c r="H18" i="68"/>
  <c r="H19" i="68"/>
  <c r="H20" i="68"/>
  <c r="H21" i="68"/>
  <c r="H22" i="68"/>
  <c r="H23" i="68"/>
  <c r="H16" i="68"/>
  <c r="H31" i="68"/>
  <c r="L28" i="68"/>
  <c r="L29" i="68" s="1"/>
  <c r="G29" i="68"/>
  <c r="I29" i="68"/>
  <c r="J29" i="68"/>
  <c r="K28" i="68"/>
  <c r="K29" i="68" s="1"/>
  <c r="I28" i="68"/>
  <c r="K17" i="68"/>
  <c r="K18" i="68"/>
  <c r="K19" i="68"/>
  <c r="K20" i="68"/>
  <c r="K21" i="68"/>
  <c r="K22" i="68"/>
  <c r="K23" i="68"/>
  <c r="K16" i="68"/>
  <c r="J24" i="68"/>
  <c r="L24" i="68"/>
  <c r="H24" i="68" s="1"/>
  <c r="I1" i="95"/>
  <c r="B1" i="95"/>
  <c r="E121" i="94"/>
  <c r="E120" i="94"/>
  <c r="E118" i="94"/>
  <c r="E117" i="94"/>
  <c r="E114" i="94"/>
  <c r="E113" i="94"/>
  <c r="E111" i="94"/>
  <c r="E110" i="94"/>
  <c r="E108" i="94"/>
  <c r="E107" i="94"/>
  <c r="E105" i="94"/>
  <c r="E104" i="94"/>
  <c r="E102" i="94"/>
  <c r="E101" i="94"/>
  <c r="E99" i="94"/>
  <c r="E98" i="94"/>
  <c r="E96" i="94"/>
  <c r="E95" i="94"/>
  <c r="E93" i="94"/>
  <c r="E92" i="94"/>
  <c r="E90" i="94"/>
  <c r="E89" i="94"/>
  <c r="E37" i="94"/>
  <c r="E80" i="94" s="1"/>
  <c r="A37" i="94"/>
  <c r="A80" i="94" s="1"/>
  <c r="A121" i="94" s="1"/>
  <c r="G36" i="94"/>
  <c r="E36" i="94"/>
  <c r="E79" i="94" s="1"/>
  <c r="A36" i="94"/>
  <c r="A79" i="94" s="1"/>
  <c r="A120" i="94" s="1"/>
  <c r="E34" i="94"/>
  <c r="E77" i="94" s="1"/>
  <c r="A34" i="94"/>
  <c r="A77" i="94" s="1"/>
  <c r="A118" i="94" s="1"/>
  <c r="E33" i="94"/>
  <c r="E76" i="94" s="1"/>
  <c r="A33" i="94"/>
  <c r="A76" i="94" s="1"/>
  <c r="A117" i="94" s="1"/>
  <c r="E30" i="94"/>
  <c r="E73" i="94" s="1"/>
  <c r="A30" i="94"/>
  <c r="A73" i="94" s="1"/>
  <c r="A114" i="94" s="1"/>
  <c r="E29" i="94"/>
  <c r="E72" i="94" s="1"/>
  <c r="A29" i="94"/>
  <c r="G27" i="94"/>
  <c r="G70" i="94" s="1"/>
  <c r="F111" i="94" s="1"/>
  <c r="F27" i="94"/>
  <c r="F70" i="94" s="1"/>
  <c r="G111" i="94" s="1"/>
  <c r="E27" i="94"/>
  <c r="E70" i="94" s="1"/>
  <c r="A27" i="94"/>
  <c r="A70" i="94" s="1"/>
  <c r="A111" i="94" s="1"/>
  <c r="G26" i="94"/>
  <c r="G69" i="94" s="1"/>
  <c r="F110" i="94" s="1"/>
  <c r="F26" i="94"/>
  <c r="F69" i="94" s="1"/>
  <c r="G110" i="94" s="1"/>
  <c r="E26" i="94"/>
  <c r="E69" i="94" s="1"/>
  <c r="A26" i="94"/>
  <c r="A69" i="94" s="1"/>
  <c r="A110" i="94" s="1"/>
  <c r="G24" i="94"/>
  <c r="G67" i="94" s="1"/>
  <c r="F108" i="94" s="1"/>
  <c r="F24" i="94"/>
  <c r="F67" i="94" s="1"/>
  <c r="G108" i="94" s="1"/>
  <c r="E24" i="94"/>
  <c r="E67" i="94" s="1"/>
  <c r="A24" i="94"/>
  <c r="A67" i="94" s="1"/>
  <c r="A108" i="94" s="1"/>
  <c r="G23" i="94"/>
  <c r="G66" i="94" s="1"/>
  <c r="F107" i="94" s="1"/>
  <c r="F23" i="94"/>
  <c r="F66" i="94" s="1"/>
  <c r="G107" i="94" s="1"/>
  <c r="E23" i="94"/>
  <c r="A23" i="94"/>
  <c r="A66" i="94" s="1"/>
  <c r="A107" i="94" s="1"/>
  <c r="G21" i="94"/>
  <c r="G64" i="94" s="1"/>
  <c r="F105" i="94" s="1"/>
  <c r="F21" i="94"/>
  <c r="F64" i="94" s="1"/>
  <c r="G105" i="94" s="1"/>
  <c r="E21" i="94"/>
  <c r="E64" i="94" s="1"/>
  <c r="A21" i="94"/>
  <c r="A64" i="94" s="1"/>
  <c r="A105" i="94" s="1"/>
  <c r="G20" i="94"/>
  <c r="G63" i="94" s="1"/>
  <c r="F104" i="94" s="1"/>
  <c r="F20" i="94"/>
  <c r="F63" i="94" s="1"/>
  <c r="G104" i="94" s="1"/>
  <c r="E20" i="94"/>
  <c r="E63" i="94" s="1"/>
  <c r="A20" i="94"/>
  <c r="A63" i="94" s="1"/>
  <c r="A104" i="94" s="1"/>
  <c r="E18" i="94"/>
  <c r="E61" i="94" s="1"/>
  <c r="A18" i="94"/>
  <c r="A61" i="94" s="1"/>
  <c r="A102" i="94" s="1"/>
  <c r="E17" i="94"/>
  <c r="E60" i="94" s="1"/>
  <c r="A17" i="94"/>
  <c r="A60" i="94" s="1"/>
  <c r="A101" i="94" s="1"/>
  <c r="G15" i="94"/>
  <c r="G58" i="94" s="1"/>
  <c r="F99" i="94" s="1"/>
  <c r="F15" i="94"/>
  <c r="F58" i="94" s="1"/>
  <c r="G99" i="94" s="1"/>
  <c r="E15" i="94"/>
  <c r="E58" i="94" s="1"/>
  <c r="A15" i="94"/>
  <c r="G14" i="94"/>
  <c r="G57" i="94" s="1"/>
  <c r="F98" i="94" s="1"/>
  <c r="F14" i="94"/>
  <c r="F57" i="94" s="1"/>
  <c r="G98" i="94" s="1"/>
  <c r="E14" i="94"/>
  <c r="E57" i="94" s="1"/>
  <c r="A14" i="94"/>
  <c r="A57" i="94" s="1"/>
  <c r="A98" i="94" s="1"/>
  <c r="G12" i="94"/>
  <c r="E12" i="94"/>
  <c r="A12" i="94"/>
  <c r="G11" i="94"/>
  <c r="F11" i="94"/>
  <c r="E11" i="94"/>
  <c r="A11" i="94"/>
  <c r="G9" i="94"/>
  <c r="G55" i="94" s="1"/>
  <c r="F96" i="94" s="1"/>
  <c r="E9" i="94"/>
  <c r="A9" i="94"/>
  <c r="A55" i="94" s="1"/>
  <c r="A96" i="94" s="1"/>
  <c r="G8" i="94"/>
  <c r="G54" i="94" s="1"/>
  <c r="F95" i="94" s="1"/>
  <c r="F8" i="94"/>
  <c r="F54" i="94" s="1"/>
  <c r="G95" i="94" s="1"/>
  <c r="E8" i="94"/>
  <c r="E54" i="94" s="1"/>
  <c r="A8" i="94"/>
  <c r="A54" i="94" s="1"/>
  <c r="A95" i="94" s="1"/>
  <c r="G6" i="94"/>
  <c r="G52" i="94" s="1"/>
  <c r="F93" i="94" s="1"/>
  <c r="E6" i="94"/>
  <c r="E52" i="94" s="1"/>
  <c r="A6" i="94"/>
  <c r="A52" i="94" s="1"/>
  <c r="A93" i="94" s="1"/>
  <c r="G5" i="94"/>
  <c r="G51" i="94" s="1"/>
  <c r="F92" i="94" s="1"/>
  <c r="F5" i="94"/>
  <c r="E5" i="94"/>
  <c r="E51" i="94" s="1"/>
  <c r="A5" i="94"/>
  <c r="G3" i="94"/>
  <c r="G49" i="94" s="1"/>
  <c r="F90" i="94" s="1"/>
  <c r="E3" i="94"/>
  <c r="E49" i="94" s="1"/>
  <c r="A3" i="94"/>
  <c r="A49" i="94" s="1"/>
  <c r="A90" i="94" s="1"/>
  <c r="G2" i="94"/>
  <c r="G48" i="94" s="1"/>
  <c r="F2" i="94"/>
  <c r="F48" i="94" s="1"/>
  <c r="G89" i="94" s="1"/>
  <c r="E2" i="94"/>
  <c r="E48" i="94" s="1"/>
  <c r="A2" i="94"/>
  <c r="A48" i="94" s="1"/>
  <c r="A89" i="94" s="1"/>
  <c r="K65" i="95"/>
  <c r="K68" i="95" s="1"/>
  <c r="J65" i="95"/>
  <c r="H65" i="95"/>
  <c r="G65" i="95"/>
  <c r="L16" i="95"/>
  <c r="K16" i="95"/>
  <c r="G16" i="95"/>
  <c r="K69" i="95" s="1"/>
  <c r="A51" i="94"/>
  <c r="A92" i="94" s="1"/>
  <c r="E125" i="94"/>
  <c r="B121" i="94"/>
  <c r="B120" i="94"/>
  <c r="I118" i="94"/>
  <c r="B118" i="94"/>
  <c r="I117" i="94"/>
  <c r="B117" i="94"/>
  <c r="I114" i="94"/>
  <c r="B114" i="94"/>
  <c r="C113" i="94"/>
  <c r="B113" i="94"/>
  <c r="B111" i="94"/>
  <c r="B110" i="94"/>
  <c r="I108" i="94"/>
  <c r="H108" i="94"/>
  <c r="B108" i="94"/>
  <c r="C107" i="94"/>
  <c r="B107" i="94"/>
  <c r="B105" i="94"/>
  <c r="B104" i="94"/>
  <c r="B102" i="94"/>
  <c r="B101" i="94"/>
  <c r="I99" i="94"/>
  <c r="B99" i="94"/>
  <c r="I98" i="94"/>
  <c r="B98" i="94"/>
  <c r="I96" i="94"/>
  <c r="G96" i="94"/>
  <c r="B96" i="94"/>
  <c r="I95" i="94"/>
  <c r="C95" i="94"/>
  <c r="B95" i="94"/>
  <c r="G93" i="94"/>
  <c r="B93" i="94"/>
  <c r="B92" i="94"/>
  <c r="H90" i="94"/>
  <c r="B90" i="94"/>
  <c r="H89" i="94"/>
  <c r="B89" i="94"/>
  <c r="H85" i="94"/>
  <c r="H126" i="94" s="1"/>
  <c r="E85" i="94"/>
  <c r="E126" i="94" s="1"/>
  <c r="E84" i="94"/>
  <c r="G83" i="94"/>
  <c r="F83" i="94"/>
  <c r="I80" i="94"/>
  <c r="I121" i="94" s="1"/>
  <c r="H80" i="94"/>
  <c r="H121" i="94" s="1"/>
  <c r="C80" i="94"/>
  <c r="C121" i="94" s="1"/>
  <c r="I79" i="94"/>
  <c r="I120" i="94" s="1"/>
  <c r="H79" i="94"/>
  <c r="H120" i="94" s="1"/>
  <c r="F79" i="94"/>
  <c r="G120" i="94" s="1"/>
  <c r="C79" i="94"/>
  <c r="C120" i="94" s="1"/>
  <c r="I77" i="94"/>
  <c r="H77" i="94"/>
  <c r="H118" i="94" s="1"/>
  <c r="F77" i="94"/>
  <c r="G118" i="94" s="1"/>
  <c r="C77" i="94"/>
  <c r="C118" i="94" s="1"/>
  <c r="I76" i="94"/>
  <c r="H76" i="94"/>
  <c r="H117" i="94" s="1"/>
  <c r="G76" i="94"/>
  <c r="F117" i="94" s="1"/>
  <c r="C76" i="94"/>
  <c r="C117" i="94" s="1"/>
  <c r="I73" i="94"/>
  <c r="H73" i="94"/>
  <c r="H114" i="94" s="1"/>
  <c r="C73" i="94"/>
  <c r="I72" i="94"/>
  <c r="I113" i="94" s="1"/>
  <c r="H72" i="94"/>
  <c r="H113" i="94" s="1"/>
  <c r="C72" i="94"/>
  <c r="I70" i="94"/>
  <c r="I111" i="94" s="1"/>
  <c r="H70" i="94"/>
  <c r="H111" i="94" s="1"/>
  <c r="C70" i="94"/>
  <c r="I69" i="94"/>
  <c r="I110" i="94" s="1"/>
  <c r="H69" i="94"/>
  <c r="H110" i="94" s="1"/>
  <c r="C69" i="94"/>
  <c r="C110" i="94" s="1"/>
  <c r="I67" i="94"/>
  <c r="H67" i="94"/>
  <c r="C67" i="94"/>
  <c r="I66" i="94"/>
  <c r="I107" i="94" s="1"/>
  <c r="H66" i="94"/>
  <c r="H107" i="94" s="1"/>
  <c r="C66" i="94"/>
  <c r="I64" i="94"/>
  <c r="I105" i="94" s="1"/>
  <c r="H64" i="94"/>
  <c r="H105" i="94" s="1"/>
  <c r="C64" i="94"/>
  <c r="I63" i="94"/>
  <c r="I104" i="94" s="1"/>
  <c r="H63" i="94"/>
  <c r="H104" i="94" s="1"/>
  <c r="C63" i="94"/>
  <c r="C104" i="94" s="1"/>
  <c r="I61" i="94"/>
  <c r="I102" i="94" s="1"/>
  <c r="H61" i="94"/>
  <c r="H102" i="94" s="1"/>
  <c r="C61" i="94"/>
  <c r="I60" i="94"/>
  <c r="I101" i="94" s="1"/>
  <c r="H60" i="94"/>
  <c r="H101" i="94" s="1"/>
  <c r="C60" i="94"/>
  <c r="C101" i="94" s="1"/>
  <c r="I58" i="94"/>
  <c r="H58" i="94"/>
  <c r="H99" i="94" s="1"/>
  <c r="C58" i="94"/>
  <c r="A58" i="94"/>
  <c r="A99" i="94" s="1"/>
  <c r="I57" i="94"/>
  <c r="H57" i="94"/>
  <c r="H98" i="94" s="1"/>
  <c r="C57" i="94"/>
  <c r="C98" i="94" s="1"/>
  <c r="I55" i="94"/>
  <c r="H55" i="94"/>
  <c r="H96" i="94" s="1"/>
  <c r="F55" i="94"/>
  <c r="C55" i="94"/>
  <c r="I54" i="94"/>
  <c r="H54" i="94"/>
  <c r="H95" i="94" s="1"/>
  <c r="C54" i="94"/>
  <c r="I52" i="94"/>
  <c r="I93" i="94" s="1"/>
  <c r="H52" i="94"/>
  <c r="H93" i="94" s="1"/>
  <c r="F52" i="94"/>
  <c r="C52" i="94"/>
  <c r="I51" i="94"/>
  <c r="I92" i="94" s="1"/>
  <c r="H51" i="94"/>
  <c r="H92" i="94" s="1"/>
  <c r="C51" i="94"/>
  <c r="C92" i="94" s="1"/>
  <c r="I49" i="94"/>
  <c r="I90" i="94" s="1"/>
  <c r="H49" i="94"/>
  <c r="F49" i="94"/>
  <c r="G90" i="94" s="1"/>
  <c r="C49" i="94"/>
  <c r="I48" i="94"/>
  <c r="I89" i="94" s="1"/>
  <c r="H48" i="94"/>
  <c r="C48" i="94"/>
  <c r="C89" i="94" s="1"/>
  <c r="G37" i="94"/>
  <c r="G80" i="94" s="1"/>
  <c r="F121" i="94" s="1"/>
  <c r="G79" i="94"/>
  <c r="F120" i="94" s="1"/>
  <c r="I34" i="94"/>
  <c r="G34" i="94"/>
  <c r="G77" i="94" s="1"/>
  <c r="F118" i="94" s="1"/>
  <c r="A72" i="94"/>
  <c r="A113" i="94" s="1"/>
  <c r="E66" i="94"/>
  <c r="E55" i="94"/>
  <c r="F51" i="94"/>
  <c r="G92" i="94" s="1"/>
  <c r="H182" i="85" l="1"/>
  <c r="F1" i="82"/>
  <c r="G21" i="60"/>
  <c r="G22" i="60"/>
  <c r="H22" i="60" s="1"/>
  <c r="G20" i="60"/>
  <c r="Y24" i="68"/>
  <c r="Y31" i="68" s="1"/>
  <c r="V24" i="68"/>
  <c r="V31" i="68" s="1"/>
  <c r="W31" i="68" s="1"/>
  <c r="X21" i="68"/>
  <c r="W20" i="68"/>
  <c r="AA24" i="68"/>
  <c r="AA31" i="68" s="1"/>
  <c r="Z20" i="68"/>
  <c r="W17" i="68"/>
  <c r="W21" i="68"/>
  <c r="U24" i="68"/>
  <c r="U31" i="68" s="1"/>
  <c r="Z28" i="68"/>
  <c r="Z16" i="68"/>
  <c r="W19" i="68"/>
  <c r="Z29" i="68"/>
  <c r="W29" i="68"/>
  <c r="X22" i="68"/>
  <c r="W22" i="68"/>
  <c r="X19" i="68"/>
  <c r="Z19" i="68"/>
  <c r="X23" i="68"/>
  <c r="Z21" i="68"/>
  <c r="W18" i="68"/>
  <c r="X28" i="68"/>
  <c r="X29" i="68" s="1"/>
  <c r="W23" i="68"/>
  <c r="W28" i="68"/>
  <c r="Z18" i="68"/>
  <c r="W16" i="68"/>
  <c r="X16" i="68"/>
  <c r="L31" i="68"/>
  <c r="G31" i="68"/>
  <c r="J31" i="68"/>
  <c r="K31" i="68" s="1"/>
  <c r="K24" i="68"/>
  <c r="F89" i="94"/>
  <c r="F37" i="94"/>
  <c r="F80" i="94" s="1"/>
  <c r="G121" i="94" s="1"/>
  <c r="F76" i="94"/>
  <c r="G117" i="94" s="1"/>
  <c r="G65" i="60"/>
  <c r="H65" i="60" s="1"/>
  <c r="G66" i="60"/>
  <c r="G64" i="60"/>
  <c r="H64" i="60" s="1"/>
  <c r="J66" i="84"/>
  <c r="J87" i="84"/>
  <c r="H79" i="60" l="1"/>
  <c r="X24" i="68"/>
  <c r="X31" i="68" s="1"/>
  <c r="W24" i="68"/>
  <c r="E12" i="86"/>
  <c r="J63" i="84"/>
  <c r="J30" i="84"/>
  <c r="J20" i="84"/>
  <c r="J15" i="84"/>
  <c r="E26" i="86"/>
  <c r="E15" i="86"/>
  <c r="D17" i="86"/>
  <c r="D11" i="86"/>
  <c r="G31" i="60" l="1"/>
  <c r="H31" i="60" s="1"/>
  <c r="H90" i="60" l="1"/>
  <c r="G44" i="60" l="1"/>
  <c r="G39" i="60"/>
  <c r="G34" i="60"/>
  <c r="B61" i="88" l="1"/>
  <c r="F11" i="86"/>
  <c r="F17" i="86"/>
  <c r="F18" i="86"/>
  <c r="E9" i="86"/>
  <c r="G56" i="60" l="1"/>
  <c r="G43" i="60" l="1"/>
  <c r="H43" i="60" s="1"/>
  <c r="G38" i="60"/>
  <c r="H38" i="60" s="1"/>
  <c r="G33" i="60"/>
  <c r="H33" i="60" s="1"/>
  <c r="H21" i="60"/>
  <c r="M21" i="42" l="1"/>
  <c r="L21" i="42"/>
  <c r="K1" i="83"/>
  <c r="I32" i="84"/>
  <c r="I12" i="84"/>
  <c r="D14" i="86" l="1"/>
  <c r="F14" i="86" s="1"/>
  <c r="G42" i="60"/>
  <c r="H42" i="60" s="1"/>
  <c r="G37" i="60"/>
  <c r="H37" i="60" s="1"/>
  <c r="G32" i="60"/>
  <c r="H32" i="60" s="1"/>
  <c r="G55" i="60"/>
  <c r="H28" i="60"/>
  <c r="G59" i="60" l="1"/>
  <c r="G58" i="60"/>
  <c r="G61" i="60"/>
  <c r="G60" i="60"/>
  <c r="E42" i="74"/>
  <c r="D20" i="74" s="1"/>
  <c r="E38" i="74"/>
  <c r="D14" i="74" s="1"/>
  <c r="E34" i="74"/>
  <c r="D8" i="74" s="1"/>
  <c r="D34" i="74"/>
  <c r="D11" i="74" s="1"/>
  <c r="D42" i="74"/>
  <c r="D19" i="74" s="1"/>
  <c r="D38" i="74"/>
  <c r="D16" i="74" s="1"/>
  <c r="F1" i="86" l="1"/>
  <c r="I1" i="84"/>
  <c r="G1" i="85"/>
  <c r="G1" i="37" s="1"/>
  <c r="G1" i="40"/>
  <c r="H1" i="60"/>
  <c r="F1" i="68"/>
  <c r="U12" i="68" s="1"/>
  <c r="E1" i="69"/>
  <c r="M1" i="75"/>
  <c r="K1" i="42"/>
  <c r="J1" i="47"/>
  <c r="D1" i="74"/>
  <c r="G41" i="60" l="1"/>
  <c r="H41" i="60" s="1"/>
  <c r="G36" i="60"/>
  <c r="H36" i="60" s="1"/>
  <c r="C27" i="47" l="1"/>
  <c r="F27" i="47" s="1"/>
  <c r="C26" i="47"/>
  <c r="F26" i="47" s="1"/>
  <c r="B27" i="47"/>
  <c r="B26" i="47"/>
  <c r="E24" i="68" l="1"/>
  <c r="D25" i="86" l="1"/>
  <c r="F24" i="86"/>
  <c r="F23" i="86"/>
  <c r="F22" i="86"/>
  <c r="F21" i="86"/>
  <c r="F20" i="86"/>
  <c r="E19" i="86"/>
  <c r="D19" i="86"/>
  <c r="F19" i="86" s="1"/>
  <c r="F7" i="86"/>
  <c r="F6" i="86"/>
  <c r="E5" i="86"/>
  <c r="D5" i="86"/>
  <c r="F5" i="86" s="1"/>
  <c r="D4" i="86"/>
  <c r="I185" i="85"/>
  <c r="H185" i="85"/>
  <c r="I182" i="85"/>
  <c r="I171" i="85"/>
  <c r="I175" i="85" s="1"/>
  <c r="H171" i="85"/>
  <c r="I141" i="85"/>
  <c r="I145" i="85" s="1"/>
  <c r="H141" i="85"/>
  <c r="I73" i="85"/>
  <c r="H73" i="85"/>
  <c r="I67" i="85"/>
  <c r="H67" i="85"/>
  <c r="I62" i="85"/>
  <c r="H62" i="85"/>
  <c r="I49" i="85"/>
  <c r="H49" i="85"/>
  <c r="H9" i="85"/>
  <c r="J95" i="84"/>
  <c r="J97" i="84" s="1"/>
  <c r="I87" i="84"/>
  <c r="J58" i="84"/>
  <c r="I20" i="84"/>
  <c r="I15" i="84"/>
  <c r="J10" i="84"/>
  <c r="J52" i="84" s="1"/>
  <c r="I6" i="84"/>
  <c r="I63" i="84" s="1"/>
  <c r="G22" i="40"/>
  <c r="G58" i="40"/>
  <c r="G34" i="40"/>
  <c r="A1" i="69"/>
  <c r="B1" i="68" s="1"/>
  <c r="A10" i="69"/>
  <c r="A12" i="69"/>
  <c r="B12" i="69" s="1"/>
  <c r="A14" i="69"/>
  <c r="A16" i="69"/>
  <c r="A18" i="69"/>
  <c r="A20" i="69"/>
  <c r="A22" i="69"/>
  <c r="A24" i="69"/>
  <c r="B24" i="69" s="1"/>
  <c r="A26" i="69"/>
  <c r="C26" i="69" s="1"/>
  <c r="F22" i="68"/>
  <c r="F23" i="68"/>
  <c r="F21" i="68"/>
  <c r="D24" i="68"/>
  <c r="E11" i="37"/>
  <c r="H97" i="60" s="1"/>
  <c r="F8" i="47"/>
  <c r="F9" i="47"/>
  <c r="F10" i="47"/>
  <c r="F11" i="47"/>
  <c r="F29" i="68"/>
  <c r="E29" i="68"/>
  <c r="D29" i="68"/>
  <c r="F17" i="68"/>
  <c r="F18" i="68"/>
  <c r="F19" i="68"/>
  <c r="F20" i="68"/>
  <c r="G13" i="40"/>
  <c r="D38" i="2" s="1"/>
  <c r="D53" i="2" s="1"/>
  <c r="G53" i="2" s="1"/>
  <c r="F6" i="75"/>
  <c r="F7" i="75"/>
  <c r="F8" i="75"/>
  <c r="F9" i="75"/>
  <c r="F10" i="75"/>
  <c r="F11" i="75"/>
  <c r="F12" i="75"/>
  <c r="F13" i="75"/>
  <c r="F14" i="75"/>
  <c r="J21" i="42"/>
  <c r="H21" i="42"/>
  <c r="I21" i="42"/>
  <c r="G21" i="42"/>
  <c r="E21" i="42"/>
  <c r="F21" i="42"/>
  <c r="I20" i="42"/>
  <c r="F20" i="42"/>
  <c r="I19" i="42"/>
  <c r="F19" i="42"/>
  <c r="I18" i="42"/>
  <c r="F18" i="42"/>
  <c r="B18" i="42"/>
  <c r="B19" i="42"/>
  <c r="B20" i="42"/>
  <c r="L17" i="42"/>
  <c r="L18" i="42"/>
  <c r="I17" i="42"/>
  <c r="F17" i="42"/>
  <c r="Q16" i="42"/>
  <c r="P16" i="42"/>
  <c r="O16" i="42"/>
  <c r="R16" i="42"/>
  <c r="S16" i="42" s="1"/>
  <c r="N16" i="42"/>
  <c r="K17" i="42"/>
  <c r="M17" i="42"/>
  <c r="H8" i="83"/>
  <c r="L6" i="42"/>
  <c r="L7" i="75"/>
  <c r="L19" i="42"/>
  <c r="P17" i="42"/>
  <c r="O17" i="42"/>
  <c r="Q17" i="42"/>
  <c r="R17" i="42"/>
  <c r="S17" i="42"/>
  <c r="N17" i="42"/>
  <c r="K18" i="42"/>
  <c r="M18" i="42"/>
  <c r="L20" i="42"/>
  <c r="Q18" i="42"/>
  <c r="P18" i="42"/>
  <c r="O18" i="42"/>
  <c r="N18" i="42"/>
  <c r="K19" i="42"/>
  <c r="R18" i="42"/>
  <c r="S18" i="42"/>
  <c r="P19" i="42"/>
  <c r="O19" i="42"/>
  <c r="Q19" i="42"/>
  <c r="M19" i="42"/>
  <c r="N19" i="42"/>
  <c r="K20" i="42"/>
  <c r="R19" i="42"/>
  <c r="S19" i="42"/>
  <c r="Q20" i="42"/>
  <c r="P20" i="42"/>
  <c r="O20" i="42"/>
  <c r="M20" i="42"/>
  <c r="R20" i="42"/>
  <c r="S20" i="42"/>
  <c r="N20" i="42"/>
  <c r="P21" i="42"/>
  <c r="K21" i="42"/>
  <c r="Q21" i="42"/>
  <c r="O21" i="42"/>
  <c r="R21" i="42"/>
  <c r="S21" i="42"/>
  <c r="N21" i="42"/>
  <c r="I23" i="75"/>
  <c r="H13" i="60"/>
  <c r="C19" i="47"/>
  <c r="E9" i="83"/>
  <c r="E10" i="83"/>
  <c r="E11" i="83"/>
  <c r="E12" i="83"/>
  <c r="E13" i="83"/>
  <c r="L15" i="83"/>
  <c r="G15" i="83"/>
  <c r="E8" i="83"/>
  <c r="E15" i="83"/>
  <c r="I11" i="47"/>
  <c r="I10" i="47"/>
  <c r="F16" i="68"/>
  <c r="C6" i="69"/>
  <c r="C12" i="82"/>
  <c r="E15" i="42"/>
  <c r="E22" i="42"/>
  <c r="I8" i="47"/>
  <c r="I9" i="47"/>
  <c r="D13" i="75"/>
  <c r="D12" i="75"/>
  <c r="D11" i="75"/>
  <c r="D10" i="75"/>
  <c r="D9" i="75"/>
  <c r="L9" i="75"/>
  <c r="D8" i="75"/>
  <c r="L8" i="75"/>
  <c r="D7" i="75"/>
  <c r="D6" i="75"/>
  <c r="L6" i="75"/>
  <c r="D5" i="75"/>
  <c r="H52" i="60"/>
  <c r="K5" i="75"/>
  <c r="L5" i="75"/>
  <c r="I6" i="75"/>
  <c r="K6" i="75"/>
  <c r="I7" i="75"/>
  <c r="D12" i="47"/>
  <c r="F48" i="40"/>
  <c r="K7" i="75"/>
  <c r="M7" i="75"/>
  <c r="L10" i="75"/>
  <c r="I8" i="75"/>
  <c r="L11" i="75"/>
  <c r="K8" i="75"/>
  <c r="M8" i="75"/>
  <c r="L12" i="75"/>
  <c r="L13" i="75"/>
  <c r="L15" i="75"/>
  <c r="F15" i="75"/>
  <c r="I9" i="75"/>
  <c r="L17" i="75"/>
  <c r="K9" i="75"/>
  <c r="M9" i="75"/>
  <c r="I10" i="75"/>
  <c r="G15" i="75"/>
  <c r="G17" i="75"/>
  <c r="M10" i="75"/>
  <c r="I11" i="75"/>
  <c r="K10" i="75"/>
  <c r="M11" i="75"/>
  <c r="I12" i="75"/>
  <c r="K11" i="75"/>
  <c r="I13" i="75"/>
  <c r="M12" i="75"/>
  <c r="K12" i="75"/>
  <c r="I14" i="75"/>
  <c r="I15" i="75"/>
  <c r="M13" i="75"/>
  <c r="M15" i="75"/>
  <c r="K13" i="75"/>
  <c r="K15" i="75"/>
  <c r="M16" i="75"/>
  <c r="M17" i="75"/>
  <c r="I22" i="75"/>
  <c r="P15" i="75"/>
  <c r="P16" i="75"/>
  <c r="K23" i="75"/>
  <c r="L23" i="75" s="1"/>
  <c r="E25" i="37"/>
  <c r="F11" i="42"/>
  <c r="F12" i="42"/>
  <c r="F13" i="42"/>
  <c r="C11" i="43"/>
  <c r="C17" i="43" s="1"/>
  <c r="D36" i="2" s="1"/>
  <c r="I11" i="42"/>
  <c r="I12" i="42"/>
  <c r="I10" i="42"/>
  <c r="I9" i="42"/>
  <c r="I8" i="42"/>
  <c r="F8" i="42"/>
  <c r="F9" i="42"/>
  <c r="F7" i="42"/>
  <c r="B7" i="42"/>
  <c r="B8" i="42"/>
  <c r="B9" i="42"/>
  <c r="B10" i="42"/>
  <c r="I7" i="42"/>
  <c r="I13" i="42"/>
  <c r="E28" i="37"/>
  <c r="E22" i="37"/>
  <c r="E14" i="37"/>
  <c r="E8" i="37"/>
  <c r="F11" i="43"/>
  <c r="F41" i="40"/>
  <c r="G16" i="40"/>
  <c r="J15" i="42"/>
  <c r="H15" i="42"/>
  <c r="I6" i="42"/>
  <c r="F6" i="42"/>
  <c r="Q5" i="42"/>
  <c r="D21" i="42"/>
  <c r="G12" i="47"/>
  <c r="B1" i="37"/>
  <c r="L7" i="42"/>
  <c r="N5" i="42"/>
  <c r="K6" i="42"/>
  <c r="M6" i="42"/>
  <c r="N6" i="42"/>
  <c r="P5" i="42"/>
  <c r="O5" i="42"/>
  <c r="B1" i="82"/>
  <c r="B1" i="74" s="1"/>
  <c r="B25" i="74" s="1"/>
  <c r="J22" i="42"/>
  <c r="D22" i="42"/>
  <c r="B11" i="42"/>
  <c r="B12" i="42"/>
  <c r="B13" i="42"/>
  <c r="B15" i="42"/>
  <c r="Q6" i="42"/>
  <c r="K7" i="42"/>
  <c r="O6" i="42"/>
  <c r="T1" i="42"/>
  <c r="R5" i="42"/>
  <c r="S5" i="42"/>
  <c r="I15" i="42"/>
  <c r="P6" i="42"/>
  <c r="D15" i="42"/>
  <c r="B1" i="43"/>
  <c r="B1" i="40"/>
  <c r="L8" i="42"/>
  <c r="F10" i="42"/>
  <c r="G15" i="42"/>
  <c r="G22" i="42"/>
  <c r="D6" i="74"/>
  <c r="E25" i="74"/>
  <c r="B1" i="60"/>
  <c r="B1" i="47"/>
  <c r="B1" i="42" s="1"/>
  <c r="B1" i="83" s="1"/>
  <c r="B1" i="75" s="1"/>
  <c r="R6" i="42"/>
  <c r="S6" i="42"/>
  <c r="M7" i="42"/>
  <c r="N7" i="42"/>
  <c r="K8" i="42"/>
  <c r="L9" i="42"/>
  <c r="Q7" i="42"/>
  <c r="P7" i="42"/>
  <c r="O7" i="42"/>
  <c r="F15" i="42"/>
  <c r="M8" i="42"/>
  <c r="N8" i="42"/>
  <c r="K9" i="42"/>
  <c r="P9" i="42"/>
  <c r="K13" i="42"/>
  <c r="O13" i="42"/>
  <c r="R7" i="42"/>
  <c r="S7" i="42"/>
  <c r="L10" i="42"/>
  <c r="P8" i="42"/>
  <c r="Q8" i="42"/>
  <c r="O8" i="42"/>
  <c r="Q9" i="42"/>
  <c r="O9" i="42"/>
  <c r="R9" i="42"/>
  <c r="M9" i="42"/>
  <c r="N9" i="42"/>
  <c r="K10" i="42"/>
  <c r="P13" i="42"/>
  <c r="R13" i="42"/>
  <c r="Q13" i="42"/>
  <c r="R8" i="42"/>
  <c r="S8" i="42"/>
  <c r="L11" i="42"/>
  <c r="S9" i="42"/>
  <c r="S13" i="42"/>
  <c r="O10" i="42"/>
  <c r="P10" i="42"/>
  <c r="Q10" i="42"/>
  <c r="M10" i="42"/>
  <c r="L12" i="42"/>
  <c r="L13" i="42"/>
  <c r="R10" i="42"/>
  <c r="S10" i="42"/>
  <c r="N10" i="42"/>
  <c r="K11" i="42"/>
  <c r="O11" i="42"/>
  <c r="Q11" i="42"/>
  <c r="P11" i="42"/>
  <c r="L15" i="42"/>
  <c r="L22" i="42"/>
  <c r="M11" i="42"/>
  <c r="R11" i="42"/>
  <c r="S11" i="42"/>
  <c r="N11" i="42"/>
  <c r="K12" i="42"/>
  <c r="Q12" i="42"/>
  <c r="O12" i="42"/>
  <c r="P12" i="42"/>
  <c r="P15" i="42"/>
  <c r="P22" i="42"/>
  <c r="K15" i="42"/>
  <c r="M12" i="42"/>
  <c r="Q15" i="42"/>
  <c r="R12" i="42"/>
  <c r="S12" i="42"/>
  <c r="O15" i="42"/>
  <c r="O22" i="42"/>
  <c r="O28" i="42" s="1"/>
  <c r="O29" i="42" s="1"/>
  <c r="B45" i="88" s="1"/>
  <c r="M13" i="42"/>
  <c r="M15" i="42"/>
  <c r="M22" i="42"/>
  <c r="N12" i="42"/>
  <c r="R15" i="42"/>
  <c r="S15" i="42"/>
  <c r="N13" i="42"/>
  <c r="N15" i="42"/>
  <c r="N22" i="42"/>
  <c r="K22" i="42"/>
  <c r="M23" i="42"/>
  <c r="P25" i="42"/>
  <c r="P26" i="42"/>
  <c r="Q22" i="42"/>
  <c r="O25" i="42"/>
  <c r="O26" i="42"/>
  <c r="R22" i="42"/>
  <c r="S22" i="42"/>
  <c r="S23" i="42"/>
  <c r="H9" i="83"/>
  <c r="J8" i="83"/>
  <c r="K8" i="83"/>
  <c r="J9" i="83"/>
  <c r="K9" i="83"/>
  <c r="H10" i="83"/>
  <c r="J10" i="83"/>
  <c r="K10" i="83"/>
  <c r="H11" i="83"/>
  <c r="J11" i="83"/>
  <c r="K11" i="83"/>
  <c r="H12" i="83"/>
  <c r="J12" i="83"/>
  <c r="H13" i="83"/>
  <c r="J13" i="83"/>
  <c r="K13" i="83"/>
  <c r="H14" i="83"/>
  <c r="H15" i="83"/>
  <c r="K12" i="83"/>
  <c r="J15" i="83"/>
  <c r="J16" i="83"/>
  <c r="J17" i="83"/>
  <c r="K15" i="83"/>
  <c r="K16" i="83"/>
  <c r="K17" i="83"/>
  <c r="K22" i="75"/>
  <c r="L22" i="75" s="1"/>
  <c r="B41" i="88" s="1"/>
  <c r="M24" i="42"/>
  <c r="D51" i="2" l="1"/>
  <c r="F28" i="37"/>
  <c r="G28" i="37" s="1"/>
  <c r="H95" i="60"/>
  <c r="H111" i="60" s="1"/>
  <c r="D40" i="2"/>
  <c r="D55" i="2" s="1"/>
  <c r="G55" i="2" s="1"/>
  <c r="H145" i="85"/>
  <c r="C10" i="69"/>
  <c r="C12" i="69"/>
  <c r="G30" i="94"/>
  <c r="G73" i="94" s="1"/>
  <c r="F114" i="94" s="1"/>
  <c r="F30" i="94"/>
  <c r="F73" i="94" s="1"/>
  <c r="G114" i="94" s="1"/>
  <c r="G29" i="94"/>
  <c r="G72" i="94" s="1"/>
  <c r="F113" i="94" s="1"/>
  <c r="F29" i="94"/>
  <c r="F72" i="94" s="1"/>
  <c r="G113" i="94" s="1"/>
  <c r="M25" i="42"/>
  <c r="M26" i="42" s="1"/>
  <c r="B7" i="47"/>
  <c r="B26" i="69"/>
  <c r="H175" i="85"/>
  <c r="G202" i="85"/>
  <c r="I33" i="84"/>
  <c r="I30" i="84" s="1"/>
  <c r="H64" i="85"/>
  <c r="I64" i="85"/>
  <c r="C7" i="47"/>
  <c r="C5" i="69"/>
  <c r="E36" i="69" s="1"/>
  <c r="B1" i="85"/>
  <c r="B1" i="84" s="1" a="1"/>
  <c r="B1" i="84" s="1"/>
  <c r="B1" i="86"/>
  <c r="J60" i="84"/>
  <c r="J8" i="84"/>
  <c r="R2" i="42"/>
  <c r="I92" i="85"/>
  <c r="E31" i="68"/>
  <c r="D31" i="68"/>
  <c r="B14" i="69"/>
  <c r="C14" i="69"/>
  <c r="F24" i="68"/>
  <c r="F31" i="68" s="1"/>
  <c r="C22" i="69"/>
  <c r="B10" i="69"/>
  <c r="B20" i="69"/>
  <c r="C24" i="69"/>
  <c r="C16" i="69"/>
  <c r="B16" i="69"/>
  <c r="B22" i="69"/>
  <c r="B18" i="69"/>
  <c r="C18" i="69"/>
  <c r="C20" i="69"/>
  <c r="H191" i="85"/>
  <c r="I54" i="84"/>
  <c r="I56" i="84"/>
  <c r="C12" i="43"/>
  <c r="C13" i="43" s="1"/>
  <c r="E35" i="86"/>
  <c r="E36" i="86" s="1"/>
  <c r="B55" i="88" s="1"/>
  <c r="F25" i="86"/>
  <c r="H92" i="85"/>
  <c r="E30" i="37"/>
  <c r="E16" i="37"/>
  <c r="D15" i="37"/>
  <c r="G4" i="40"/>
  <c r="D44" i="2" l="1"/>
  <c r="E36" i="2" s="1"/>
  <c r="G51" i="2"/>
  <c r="D59" i="2"/>
  <c r="I13" i="84"/>
  <c r="I10" i="84" s="1"/>
  <c r="I52" i="84" s="1"/>
  <c r="D13" i="86"/>
  <c r="I94" i="85"/>
  <c r="I98" i="85" s="1"/>
  <c r="I188" i="85" s="1"/>
  <c r="I192" i="85" s="1"/>
  <c r="I193" i="85" s="1"/>
  <c r="B52" i="88" s="1"/>
  <c r="D16" i="86"/>
  <c r="D15" i="86" s="1"/>
  <c r="H94" i="85"/>
  <c r="H98" i="85" s="1"/>
  <c r="D10" i="86" s="1"/>
  <c r="C18" i="47"/>
  <c r="F7" i="47"/>
  <c r="F12" i="47" s="1"/>
  <c r="C12" i="47"/>
  <c r="I7" i="47"/>
  <c r="I12" i="47" s="1"/>
  <c r="J99" i="84"/>
  <c r="J100" i="84"/>
  <c r="B50" i="88" s="1"/>
  <c r="I58" i="84"/>
  <c r="R1" i="42"/>
  <c r="C32" i="69"/>
  <c r="D32" i="69" s="1"/>
  <c r="I91" i="84"/>
  <c r="I95" i="84" s="1"/>
  <c r="H112" i="60"/>
  <c r="B56" i="88"/>
  <c r="E32" i="37"/>
  <c r="E33" i="37" s="1"/>
  <c r="F25" i="37"/>
  <c r="O16" i="2" l="1"/>
  <c r="O18" i="2" s="1"/>
  <c r="C7" i="2"/>
  <c r="E34" i="2"/>
  <c r="E40" i="2"/>
  <c r="E38" i="2"/>
  <c r="E42" i="2"/>
  <c r="E44" i="2" s="1"/>
  <c r="O21" i="2"/>
  <c r="O22" i="2"/>
  <c r="G59" i="2"/>
  <c r="H51" i="2" s="1"/>
  <c r="O24" i="2"/>
  <c r="F13" i="86"/>
  <c r="D12" i="86"/>
  <c r="F12" i="86" s="1"/>
  <c r="G17" i="94"/>
  <c r="F17" i="94"/>
  <c r="G18" i="94"/>
  <c r="G61" i="94" s="1"/>
  <c r="F102" i="94" s="1"/>
  <c r="F18" i="94"/>
  <c r="F61" i="94" s="1"/>
  <c r="G102" i="94" s="1"/>
  <c r="B46" i="88"/>
  <c r="B47" i="88"/>
  <c r="F15" i="86"/>
  <c r="F16" i="86"/>
  <c r="F10" i="86"/>
  <c r="I60" i="84"/>
  <c r="I8" i="84"/>
  <c r="H188" i="85"/>
  <c r="H192" i="85" s="1"/>
  <c r="I13" i="47"/>
  <c r="I16" i="47"/>
  <c r="I17" i="47" s="1"/>
  <c r="I18" i="47" s="1"/>
  <c r="B44" i="88" s="1"/>
  <c r="F16" i="47"/>
  <c r="F13" i="47"/>
  <c r="F17" i="47"/>
  <c r="F18" i="47" s="1"/>
  <c r="B43" i="88" s="1"/>
  <c r="C20" i="47"/>
  <c r="B42" i="88" s="1"/>
  <c r="D31" i="69"/>
  <c r="B48" i="88"/>
  <c r="B57" i="88"/>
  <c r="G25" i="37"/>
  <c r="O27" i="2" l="1"/>
  <c r="O30" i="2" s="1"/>
  <c r="H57" i="2"/>
  <c r="H55" i="2"/>
  <c r="H53" i="2"/>
  <c r="H49" i="2"/>
  <c r="F62" i="2"/>
  <c r="F60" i="94"/>
  <c r="F41" i="94"/>
  <c r="G60" i="94"/>
  <c r="G41" i="94"/>
  <c r="D9" i="86"/>
  <c r="I74" i="84"/>
  <c r="H193" i="85"/>
  <c r="B51" i="88" s="1"/>
  <c r="H59" i="2" l="1"/>
  <c r="D26" i="86"/>
  <c r="G199" i="85" s="1"/>
  <c r="G101" i="94"/>
  <c r="G125" i="94" s="1"/>
  <c r="F84" i="94"/>
  <c r="F101" i="94"/>
  <c r="F125" i="94" s="1"/>
  <c r="G84" i="94"/>
  <c r="G42" i="94"/>
  <c r="G43" i="94" s="1"/>
  <c r="F9" i="86"/>
  <c r="F22" i="37"/>
  <c r="F26" i="86" l="1"/>
  <c r="F126" i="94"/>
  <c r="G127" i="94" s="1"/>
  <c r="G85" i="94"/>
  <c r="G86" i="94" s="1"/>
  <c r="B40" i="88" s="1"/>
  <c r="F16" i="37"/>
  <c r="G16" i="37" s="1"/>
  <c r="D34" i="86"/>
  <c r="D35" i="86" s="1"/>
  <c r="G22" i="37"/>
  <c r="F30" i="37"/>
  <c r="G30" i="37" s="1"/>
  <c r="H30" i="37" s="1"/>
  <c r="F13" i="2" l="1"/>
  <c r="J22" i="37"/>
  <c r="K22" i="37" s="1"/>
  <c r="G200" i="85"/>
  <c r="J55" i="60"/>
  <c r="F34" i="86"/>
  <c r="F35" i="86" s="1"/>
  <c r="F36" i="86" s="1"/>
  <c r="G32" i="37"/>
  <c r="G33" i="37" s="1"/>
  <c r="H16" i="37"/>
  <c r="I77" i="84"/>
  <c r="I66" i="84" s="1"/>
  <c r="E33" i="69"/>
  <c r="D4" i="82"/>
  <c r="B64" i="88" l="1"/>
  <c r="D9" i="82"/>
  <c r="E9" i="82" s="1"/>
  <c r="F9" i="2" s="1"/>
  <c r="D38" i="86"/>
  <c r="G203" i="85"/>
  <c r="D10" i="82"/>
  <c r="E10" i="82" s="1"/>
  <c r="G9" i="2" s="1"/>
  <c r="I97" i="84"/>
  <c r="B58" i="88"/>
  <c r="B38" i="88"/>
  <c r="D36" i="86" l="1"/>
  <c r="D39" i="86" s="1"/>
  <c r="B60" i="88"/>
  <c r="B59" i="88"/>
  <c r="D6" i="69"/>
  <c r="D26" i="69" s="1"/>
  <c r="E26" i="69" s="1"/>
  <c r="E27" i="69" s="1"/>
  <c r="D12" i="82"/>
  <c r="F7" i="82" s="1"/>
  <c r="F6" i="82" s="1"/>
  <c r="B39" i="88" s="1"/>
  <c r="I99" i="84"/>
  <c r="I100" i="84"/>
  <c r="B49" i="88" s="1"/>
  <c r="B53" i="88" l="1"/>
  <c r="H10" i="82"/>
  <c r="I10" i="82" s="1"/>
  <c r="J10" i="82" s="1"/>
  <c r="K10" i="82" s="1"/>
  <c r="D5" i="69"/>
  <c r="H9" i="82"/>
  <c r="I9" i="82" s="1"/>
  <c r="J9" i="82" s="1"/>
  <c r="D20" i="69" l="1"/>
  <c r="E20" i="69" s="1"/>
  <c r="E21" i="69" s="1"/>
  <c r="D16" i="69"/>
  <c r="E16" i="69" s="1"/>
  <c r="E17" i="69" s="1"/>
  <c r="D18" i="69"/>
  <c r="E18" i="69" s="1"/>
  <c r="E19" i="69" s="1"/>
  <c r="D24" i="69"/>
  <c r="E24" i="69" s="1"/>
  <c r="E25" i="69" s="1"/>
  <c r="D14" i="69"/>
  <c r="E14" i="69" s="1"/>
  <c r="E15" i="69" s="1"/>
  <c r="D12" i="69"/>
  <c r="E12" i="69" s="1"/>
  <c r="E13" i="69" s="1"/>
  <c r="D10" i="69"/>
  <c r="E10" i="69" s="1"/>
  <c r="D22" i="69"/>
  <c r="E22" i="69" s="1"/>
  <c r="E23" i="69" s="1"/>
  <c r="H12" i="82"/>
  <c r="E11" i="69" l="1"/>
  <c r="K9" i="82"/>
  <c r="I12" i="82"/>
  <c r="J12" i="82" s="1"/>
  <c r="K12" i="82" l="1"/>
  <c r="E28" i="69"/>
  <c r="E35" i="69" s="1"/>
  <c r="E37" i="69" s="1"/>
  <c r="E38" i="69" s="1"/>
  <c r="B54" i="8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BELLOCHE</author>
    <author>P49</author>
  </authors>
  <commentList>
    <comment ref="C2" authorId="0" shapeId="0" xr:uid="{DEAB6784-E94B-4147-9F53-5414907C3E72}">
      <text>
        <r>
          <rPr>
            <b/>
            <sz val="9"/>
            <color indexed="81"/>
            <rFont val="Tahoma"/>
            <family val="2"/>
          </rPr>
          <t>Parts A</t>
        </r>
      </text>
    </comment>
    <comment ref="A12" authorId="1" shapeId="0" xr:uid="{00000000-0006-0000-0100-000001000000}">
      <text>
        <r>
          <rPr>
            <sz val="10"/>
            <color indexed="81"/>
            <rFont val="Arial"/>
            <family val="2"/>
          </rPr>
          <t>Déclaration à la banque de France:
G : code générique
I : code ISIN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BELLOCHE</author>
  </authors>
  <commentList>
    <comment ref="C34" authorId="0" shapeId="0" xr:uid="{2ADD72F4-716C-4E86-914C-C746533EEAE2}">
      <text>
        <r>
          <rPr>
            <b/>
            <sz val="9"/>
            <color indexed="81"/>
            <rFont val="Tahoma"/>
            <family val="2"/>
          </rPr>
          <t>Eric BELLOCHE:</t>
        </r>
        <r>
          <rPr>
            <sz val="9"/>
            <color indexed="81"/>
            <rFont val="Tahoma"/>
            <family val="2"/>
          </rPr>
          <t xml:space="preserve">
à corriger dans tous les fonds concernés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Vincent LACROIX</author>
  </authors>
  <commentList>
    <comment ref="U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Ne pas supprimer ou modifier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APLITEC</author>
  </authors>
  <commentList>
    <comment ref="L22" authorId="0" shapeId="0" xr:uid="{00000000-0006-0000-0800-000001000000}">
      <text>
        <r>
          <rPr>
            <b/>
            <sz val="8"/>
            <color indexed="81"/>
            <rFont val="Tahoma"/>
            <family val="2"/>
          </rPr>
          <t>APLITEC:</t>
        </r>
        <r>
          <rPr>
            <sz val="8"/>
            <color indexed="81"/>
            <rFont val="Tahoma"/>
            <family val="2"/>
          </rPr>
          <t xml:space="preserve">
Ne pas modifier cette cellule de contrôle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ZHANG</author>
  </authors>
  <commentList>
    <comment ref="C20" authorId="0" shapeId="0" xr:uid="{D6D0324C-68EB-4241-A78C-2DBA113CAA27}">
      <text>
        <r>
          <rPr>
            <b/>
            <sz val="9"/>
            <color indexed="81"/>
            <rFont val="Tahoma"/>
            <family val="2"/>
          </rPr>
          <t>Han ZHANG:</t>
        </r>
        <r>
          <rPr>
            <sz val="9"/>
            <color indexed="81"/>
            <rFont val="Tahoma"/>
            <family val="2"/>
          </rPr>
          <t xml:space="preserve">
Autres obligations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POSTE_57</author>
  </authors>
  <commentList>
    <comment ref="E7" authorId="0" shapeId="0" xr:uid="{D2B05997-330F-40FB-AAF1-5A04DEC9E5AB}">
      <text>
        <r>
          <rPr>
            <b/>
            <sz val="8"/>
            <color indexed="81"/>
            <rFont val="Tahoma"/>
            <family val="2"/>
          </rPr>
          <t>POSTE_57:</t>
        </r>
        <r>
          <rPr>
            <sz val="8"/>
            <color indexed="81"/>
            <rFont val="Tahoma"/>
            <family val="2"/>
          </rPr>
          <t xml:space="preserve">
Formule à modifier après Od capital appelé vers cap. Souscrit non appelé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<sst xmlns="http://schemas.openxmlformats.org/spreadsheetml/2006/main" count="1062" uniqueCount="726">
  <si>
    <t>SANCY - SLP</t>
  </si>
  <si>
    <t>Méthode de comptabilisation des intérêts</t>
  </si>
  <si>
    <t>Coupon couru</t>
  </si>
  <si>
    <t>Particularités du FPCI</t>
  </si>
  <si>
    <t xml:space="preserve">Fonds investi </t>
  </si>
  <si>
    <t>Périodicité de la VL</t>
  </si>
  <si>
    <t>Trimestrielle</t>
  </si>
  <si>
    <t>Date de constitution</t>
  </si>
  <si>
    <t>Date de clôture du premier exercice comptable</t>
  </si>
  <si>
    <t>Type de parts</t>
  </si>
  <si>
    <t>Parts A</t>
  </si>
  <si>
    <t>Commandité</t>
  </si>
  <si>
    <t>Valeur nominale des parts</t>
  </si>
  <si>
    <t>Frais de gestion</t>
  </si>
  <si>
    <t>N/A</t>
  </si>
  <si>
    <t>Frais dépositaire</t>
  </si>
  <si>
    <t>Caceis</t>
  </si>
  <si>
    <t>Frais commissaire aux comptes</t>
  </si>
  <si>
    <t>Deloitte</t>
  </si>
  <si>
    <t>Evaluation des OPC</t>
  </si>
  <si>
    <t>dernière VL connue</t>
  </si>
  <si>
    <t>Devise de comptabilisation</t>
  </si>
  <si>
    <t>Euro</t>
  </si>
  <si>
    <t>Zone de saisie</t>
  </si>
  <si>
    <t>Onglets</t>
  </si>
  <si>
    <t>Synthèse des contrôles</t>
  </si>
  <si>
    <t>Inventaire</t>
  </si>
  <si>
    <t>Calcul VL</t>
  </si>
  <si>
    <t>OD Rééval</t>
  </si>
  <si>
    <t>Int courus OC</t>
  </si>
  <si>
    <t>Rappro titres</t>
  </si>
  <si>
    <t>PVMV</t>
  </si>
  <si>
    <t>Liste porteurs selon versement</t>
  </si>
  <si>
    <t>Bilan</t>
  </si>
  <si>
    <t>N-1</t>
  </si>
  <si>
    <t>Résultat</t>
  </si>
  <si>
    <t>Var actif net après valorisation</t>
  </si>
  <si>
    <r>
      <t>Var actif net</t>
    </r>
    <r>
      <rPr>
        <sz val="10"/>
        <color rgb="FFFF0000"/>
        <rFont val="Arial"/>
        <family val="2"/>
      </rPr>
      <t xml:space="preserve"> avant valorisation</t>
    </r>
  </si>
  <si>
    <t>Rappro banque</t>
  </si>
  <si>
    <t>rapprobalance</t>
  </si>
  <si>
    <t>rapprobalance classe 1-6-7</t>
  </si>
  <si>
    <t>rapprobalance classe 3-4-5</t>
  </si>
  <si>
    <t>rapprobalance classe 3 avant valorisation</t>
  </si>
  <si>
    <t>Délaration BDF</t>
  </si>
  <si>
    <t>Inventaire:  BDF : complément Composition de l'actif net</t>
  </si>
  <si>
    <t>Inventaire au :</t>
  </si>
  <si>
    <t>Code isin bdf</t>
  </si>
  <si>
    <t xml:space="preserve"> FR001400CQD5</t>
  </si>
  <si>
    <t xml:space="preserve">FR001400CQE3 </t>
  </si>
  <si>
    <t xml:space="preserve">Actif net :      </t>
  </si>
  <si>
    <t>Type de parts :</t>
  </si>
  <si>
    <t>Total</t>
  </si>
  <si>
    <t>Parts A1</t>
  </si>
  <si>
    <t>Parts de Commandité</t>
  </si>
  <si>
    <t xml:space="preserve">Nbre de parts :   </t>
  </si>
  <si>
    <t>valeur liquidative :</t>
  </si>
  <si>
    <t>G ou I</t>
  </si>
  <si>
    <t>Code Titre</t>
  </si>
  <si>
    <t>Libellé</t>
  </si>
  <si>
    <t>Quantité</t>
  </si>
  <si>
    <t>Prix de revient unitaire</t>
  </si>
  <si>
    <t>Estimation unitaire</t>
  </si>
  <si>
    <t xml:space="preserve">Origine du cours </t>
  </si>
  <si>
    <t>Prix de revient</t>
  </si>
  <si>
    <t>Intérêts capitalisés</t>
  </si>
  <si>
    <t xml:space="preserve">Prix de revient global </t>
  </si>
  <si>
    <t>Valeur d'estimation hors coupon</t>
  </si>
  <si>
    <t>+/- value potentielle</t>
  </si>
  <si>
    <t xml:space="preserve">Coupon couru </t>
  </si>
  <si>
    <t>Valeur d'estimation coupon inclus</t>
  </si>
  <si>
    <t>% actif net</t>
  </si>
  <si>
    <t>Valeur totale de la participation</t>
  </si>
  <si>
    <t>Ecart</t>
  </si>
  <si>
    <t>Cours unitaire de valorisation</t>
  </si>
  <si>
    <t>FONDS GENERAL</t>
  </si>
  <si>
    <t>Instruments financiers de capital Investissement</t>
  </si>
  <si>
    <t>G</t>
  </si>
  <si>
    <t>FRACEUR00294</t>
  </si>
  <si>
    <t>Autres instruments financiers</t>
  </si>
  <si>
    <t>I</t>
  </si>
  <si>
    <t>Total fonds général</t>
  </si>
  <si>
    <t>Total inventaire :</t>
  </si>
  <si>
    <t>Composition de l'actif net</t>
  </si>
  <si>
    <t>Fonds général</t>
  </si>
  <si>
    <t>%</t>
  </si>
  <si>
    <t>Disponibilités</t>
  </si>
  <si>
    <t>Créances</t>
  </si>
  <si>
    <t>Dettes</t>
  </si>
  <si>
    <t>Dettes financières</t>
  </si>
  <si>
    <t>Actif net</t>
  </si>
  <si>
    <t>BDF : complément Composition de l'actif net</t>
  </si>
  <si>
    <t>Reemploi/Compte bloqué/Clawback</t>
  </si>
  <si>
    <t xml:space="preserve">Reinvestissement </t>
  </si>
  <si>
    <t>Inventaire BDF</t>
  </si>
  <si>
    <t>Disponibilité BDF</t>
  </si>
  <si>
    <t>Créances BDF</t>
  </si>
  <si>
    <t>Dettes BDF</t>
  </si>
  <si>
    <t>Dettes financières BDF</t>
  </si>
  <si>
    <t>Actif net BDF</t>
  </si>
  <si>
    <t xml:space="preserve">Contrôle: </t>
  </si>
  <si>
    <t>Calcul des valeurs liquidatives :</t>
  </si>
  <si>
    <t>Nombre de parts</t>
  </si>
  <si>
    <t>Actif net réparti</t>
  </si>
  <si>
    <t>VL</t>
  </si>
  <si>
    <t>Valeur liquidative recalculée</t>
  </si>
  <si>
    <t>Ecart non affectable</t>
  </si>
  <si>
    <t>Vérification</t>
  </si>
  <si>
    <t>SI l'écart divisé par le nombre de parts est inférieur à 0,01= OK</t>
  </si>
  <si>
    <t>FR001400CQD5</t>
  </si>
  <si>
    <t>FR001400CQE3</t>
  </si>
  <si>
    <t>Part de commandité</t>
  </si>
  <si>
    <t>Date</t>
  </si>
  <si>
    <t>journal</t>
  </si>
  <si>
    <t>Compte</t>
  </si>
  <si>
    <t>N° Piéces</t>
  </si>
  <si>
    <t>Debit</t>
  </si>
  <si>
    <t>Credit</t>
  </si>
  <si>
    <t>Monnaie</t>
  </si>
  <si>
    <t>OD-SITU</t>
  </si>
  <si>
    <t>E</t>
  </si>
  <si>
    <t xml:space="preserve">Intérêts Courus sur OC </t>
  </si>
  <si>
    <t>Intérêts courus sur OC</t>
  </si>
  <si>
    <t>OC</t>
  </si>
  <si>
    <t>Intérêts courus sur autres obligations</t>
  </si>
  <si>
    <t>OS/OR/CN</t>
  </si>
  <si>
    <t>intérêts courus sur Prêt</t>
  </si>
  <si>
    <t>PR/CC/NO</t>
  </si>
  <si>
    <t>intérêts courus sur dépôt</t>
  </si>
  <si>
    <t>CT</t>
  </si>
  <si>
    <t>Intérêts courus sur actions</t>
  </si>
  <si>
    <t>AC/AD/BS/SA</t>
  </si>
  <si>
    <t xml:space="preserve">PVMV latentes nettes s/actions </t>
  </si>
  <si>
    <t>PVMV latentes nettes s/obligations convertibles en actions</t>
  </si>
  <si>
    <t>PVMV latentes nettes s/autres obligations</t>
  </si>
  <si>
    <t>PVMV latentes nettes s/dépôt et autres investissements financiers</t>
  </si>
  <si>
    <t>PVMV latentes nettes s/OPC</t>
  </si>
  <si>
    <t>75530000</t>
  </si>
  <si>
    <t>Sicav/FCP/FPCI/SLP/FIPS</t>
  </si>
  <si>
    <t>Fund reserve</t>
  </si>
  <si>
    <t>Intérêts sur emprunts</t>
  </si>
  <si>
    <t>Contrôle</t>
  </si>
  <si>
    <t>écart</t>
  </si>
  <si>
    <t>ce contrôle toujours à zéro</t>
  </si>
  <si>
    <t>à la clôture</t>
  </si>
  <si>
    <t>OD</t>
  </si>
  <si>
    <t>Extourne de la clôture</t>
  </si>
  <si>
    <t>Rapprochement Titres</t>
  </si>
  <si>
    <t>Société et nature juridique</t>
  </si>
  <si>
    <t xml:space="preserve">Quantité </t>
  </si>
  <si>
    <t>Date relevé dépositaire</t>
  </si>
  <si>
    <t>Commentaires</t>
  </si>
  <si>
    <t>de l'instrument financier</t>
  </si>
  <si>
    <t>inventaire</t>
  </si>
  <si>
    <t>société</t>
  </si>
  <si>
    <t>attestation</t>
  </si>
  <si>
    <t>émetteur</t>
  </si>
  <si>
    <t>dépositaire</t>
  </si>
  <si>
    <t>Contrôle formule</t>
  </si>
  <si>
    <t>Contrôle avec l'inventaire</t>
  </si>
  <si>
    <t>Nombre de lignes</t>
  </si>
  <si>
    <t>Rapprochement titres</t>
  </si>
  <si>
    <t>Rapprochement Parts</t>
  </si>
  <si>
    <t xml:space="preserve">Parts émises par </t>
  </si>
  <si>
    <t>ECART</t>
  </si>
  <si>
    <t>le fonds</t>
  </si>
  <si>
    <t>Fonds</t>
  </si>
  <si>
    <t>Dépositaire</t>
  </si>
  <si>
    <t>HORS BILAN au</t>
  </si>
  <si>
    <t>Exercice</t>
  </si>
  <si>
    <t>Exercice N-1</t>
  </si>
  <si>
    <t>Autres engagements (par nature de produit)</t>
  </si>
  <si>
    <t>Garanties reçues</t>
  </si>
  <si>
    <t>dont instruments financiers reçus en garantie et non inscrits au bilan</t>
  </si>
  <si>
    <t>Garanties données</t>
  </si>
  <si>
    <t>dont instruments financiers donnés en garantie et maintenus dans leur poste d'origine</t>
  </si>
  <si>
    <t>Engagements de financement reçu mais non encore tirés</t>
  </si>
  <si>
    <t>Engagements de financement donnés mais non encore tirés</t>
  </si>
  <si>
    <t>Autres engagements hors bilan</t>
  </si>
  <si>
    <t>Donnés</t>
  </si>
  <si>
    <t>reçus</t>
  </si>
  <si>
    <t xml:space="preserve">DETAIL DES ENGAGEMENTS HORS-BILAN au </t>
  </si>
  <si>
    <t>Engagements hors bilan</t>
  </si>
  <si>
    <t>Engagements donnés</t>
  </si>
  <si>
    <t>Engagements reçus</t>
  </si>
  <si>
    <t>Garanties</t>
  </si>
  <si>
    <t>Sous-total</t>
  </si>
  <si>
    <t>Engagements de financement mais non encore tirés</t>
  </si>
  <si>
    <t>,</t>
  </si>
  <si>
    <t>SUIVI DES ACHATS VENTES SUR TITRES :</t>
  </si>
  <si>
    <t>AIFM
Turn over</t>
  </si>
  <si>
    <t>Collective Investment Undertakings</t>
  </si>
  <si>
    <t>Les instruments financiers sont comptabilisés "frais inclus".</t>
  </si>
  <si>
    <t>ACHATS</t>
  </si>
  <si>
    <t>VENTES</t>
  </si>
  <si>
    <t>SOLDES</t>
  </si>
  <si>
    <t>PLUS VALUES REALISEES</t>
  </si>
  <si>
    <t>MOINS VALUES REALISEES</t>
  </si>
  <si>
    <t>Prix de vente- prix de revient (1)</t>
  </si>
  <si>
    <t>Sommes des plus ou moins values (2)</t>
  </si>
  <si>
    <t>Contrôle (1)-(2)</t>
  </si>
  <si>
    <t>LIBELLE</t>
  </si>
  <si>
    <t>DATE OPE</t>
  </si>
  <si>
    <t>QTE</t>
  </si>
  <si>
    <t>PR UNITAIRE</t>
  </si>
  <si>
    <t>PR OPERATION</t>
  </si>
  <si>
    <t>PV UNITAIRE</t>
  </si>
  <si>
    <t>PV OPERATION</t>
  </si>
  <si>
    <t>QUANTITE</t>
  </si>
  <si>
    <t>PR CUMULE</t>
  </si>
  <si>
    <t>PR UNIT. MOYEN</t>
  </si>
  <si>
    <t>Plus ou moins values nettes</t>
  </si>
  <si>
    <t>Report</t>
  </si>
  <si>
    <t>Heka Invest - Actions</t>
  </si>
  <si>
    <t>Reprise</t>
  </si>
  <si>
    <t>Récap</t>
  </si>
  <si>
    <t>XX</t>
  </si>
  <si>
    <t>TOTAL</t>
  </si>
  <si>
    <t>Contrôle de cohérence</t>
  </si>
  <si>
    <t>Total PR achat - Total PR Vente</t>
  </si>
  <si>
    <t>Comptabilité</t>
  </si>
  <si>
    <t>Reprise PV/MV</t>
  </si>
  <si>
    <t>Inventaire PR</t>
  </si>
  <si>
    <t>Frais de transaction antérieurs :</t>
  </si>
  <si>
    <t>EMPRUNT AU</t>
  </si>
  <si>
    <t>Emprunt caisse d'épargne haut de France</t>
  </si>
  <si>
    <t>Montant tiré</t>
  </si>
  <si>
    <t>Date de début de période</t>
  </si>
  <si>
    <t>Date de fin de période</t>
  </si>
  <si>
    <t>Durée</t>
  </si>
  <si>
    <t>Base</t>
  </si>
  <si>
    <t>Intitulé</t>
  </si>
  <si>
    <t>Mouvements</t>
  </si>
  <si>
    <t>Solde progressif</t>
  </si>
  <si>
    <t>marge</t>
  </si>
  <si>
    <t>Taux Euribor</t>
  </si>
  <si>
    <t>Intérêts payés</t>
  </si>
  <si>
    <t xml:space="preserve">Intérêts courus </t>
  </si>
  <si>
    <t>Montant non tiré</t>
  </si>
  <si>
    <t>Taux appliqué</t>
  </si>
  <si>
    <t>Intérêts</t>
  </si>
  <si>
    <t>Intérêts courus</t>
  </si>
  <si>
    <t>Emprunt</t>
  </si>
  <si>
    <t>Compte courant</t>
  </si>
  <si>
    <t>Intérêts réglés</t>
  </si>
  <si>
    <t>Apport</t>
  </si>
  <si>
    <t xml:space="preserve">Provision intérêts </t>
  </si>
  <si>
    <t xml:space="preserve">Inventaire </t>
  </si>
  <si>
    <t>Taux d'intérêts : 5%</t>
  </si>
  <si>
    <t>L'Avance en Compte Courant devra être remboursée par la Société aux Associés-Prêteurs à la date du dixième anniversaire de la Date de Mise à Disposition (l'Échéance).</t>
  </si>
  <si>
    <t>échéance : 07/11/2022</t>
  </si>
  <si>
    <t>Nouvel échéance : 07/11/2032</t>
  </si>
  <si>
    <t>Capitalisation des intérêts au 05/10</t>
  </si>
  <si>
    <t>Date d'arrêté</t>
  </si>
  <si>
    <t xml:space="preserve">Nominal </t>
  </si>
  <si>
    <t>INTERETS capitalisés</t>
  </si>
  <si>
    <t>INTERETS CAPITALISES cumulés</t>
  </si>
  <si>
    <t xml:space="preserve">INTERETS </t>
  </si>
  <si>
    <t>Intérêts courus sur nominal</t>
  </si>
  <si>
    <t>Intérêts courus sur intérêts capitalisés</t>
  </si>
  <si>
    <t>Contrôle PR unitaire (int. Compris)</t>
  </si>
  <si>
    <t xml:space="preserve">Date d'échéance : </t>
  </si>
  <si>
    <t>Provision 0%</t>
  </si>
  <si>
    <t>Provision intérêts courus</t>
  </si>
  <si>
    <t>Intérêts courus nets</t>
  </si>
  <si>
    <t xml:space="preserve">Total intérêts courus </t>
  </si>
  <si>
    <t>Total intérêts capitalisés</t>
  </si>
  <si>
    <t>Suivi des Porteurs</t>
  </si>
  <si>
    <t>Nature opération</t>
  </si>
  <si>
    <t>TP</t>
  </si>
  <si>
    <t>Transfert de Parts</t>
  </si>
  <si>
    <t>Parts commandité</t>
  </si>
  <si>
    <t>ADF</t>
  </si>
  <si>
    <t>Appel de fonds</t>
  </si>
  <si>
    <t>DD</t>
  </si>
  <si>
    <t>Distribution définitive</t>
  </si>
  <si>
    <t>DB</t>
  </si>
  <si>
    <t>Distribition Bloquée</t>
  </si>
  <si>
    <t>Date opération</t>
  </si>
  <si>
    <t>DP</t>
  </si>
  <si>
    <t>Distribution provisoire</t>
  </si>
  <si>
    <t>%ADF</t>
  </si>
  <si>
    <t>RD</t>
  </si>
  <si>
    <t>Rappel de distribution</t>
  </si>
  <si>
    <t>ENG</t>
  </si>
  <si>
    <t>Engagement supplémentaire</t>
  </si>
  <si>
    <t>Transfert de parts 1T2025</t>
  </si>
  <si>
    <t>Engagement en Euros</t>
  </si>
  <si>
    <t>montant libéré</t>
  </si>
  <si>
    <t>Nombre de parts à date de situation</t>
  </si>
  <si>
    <t>Total des versements à date de situation</t>
  </si>
  <si>
    <t>% libéré</t>
  </si>
  <si>
    <t>reste a appeler</t>
  </si>
  <si>
    <t>Distribution</t>
  </si>
  <si>
    <t>Distribution en %</t>
  </si>
  <si>
    <t>Engagement à date de situation</t>
  </si>
  <si>
    <t>Mouvements de parts 1T2025</t>
  </si>
  <si>
    <t>Affectation ADF</t>
  </si>
  <si>
    <t>ADF Test</t>
  </si>
  <si>
    <t>Distribution définitive Test</t>
  </si>
  <si>
    <t>Distribution Bloqué Test</t>
  </si>
  <si>
    <t>Distribution provisoire Test</t>
  </si>
  <si>
    <t>Rappel de distribution Test</t>
  </si>
  <si>
    <t xml:space="preserve">Nombre de parts </t>
  </si>
  <si>
    <t>Total des versements</t>
  </si>
  <si>
    <t>Montant non appelé</t>
  </si>
  <si>
    <t xml:space="preserve">Distribution </t>
  </si>
  <si>
    <t>Engagement Total</t>
  </si>
  <si>
    <t>Pantheon Global Private Credit Gt Fund, L.P.</t>
  </si>
  <si>
    <t>A</t>
  </si>
  <si>
    <t>Pantheon Global Private Credit Ho Fund, L.P.</t>
  </si>
  <si>
    <t>Abacus Private Credit</t>
  </si>
  <si>
    <t>Mw River</t>
  </si>
  <si>
    <t>Eiger</t>
  </si>
  <si>
    <t>VI Advisory</t>
  </si>
  <si>
    <t>AMER PARTNERS</t>
  </si>
  <si>
    <t>KTALYST INVESTMENTS</t>
  </si>
  <si>
    <t>TOTAL PARTS A</t>
  </si>
  <si>
    <t>A1</t>
  </si>
  <si>
    <t>Part de Commandité</t>
  </si>
  <si>
    <t>Total PARTS Commandité</t>
  </si>
  <si>
    <t xml:space="preserve">TOTAL PARTS </t>
  </si>
  <si>
    <t xml:space="preserve">Liste des porteurs </t>
  </si>
  <si>
    <t>Nbre de parts</t>
  </si>
  <si>
    <t>Souscripteurs</t>
  </si>
  <si>
    <t>Nb de parts soucrites</t>
  </si>
  <si>
    <t>Valeur unitaire</t>
  </si>
  <si>
    <t>Evaluation</t>
  </si>
  <si>
    <t>Total Pantheon Global Private Credit Gt Fund, L.P.</t>
  </si>
  <si>
    <t>Total Pantheon Global Private Credit Ho Fund, L.P.</t>
  </si>
  <si>
    <t>Total Abacus Private Credit</t>
  </si>
  <si>
    <t>Total Bow River</t>
  </si>
  <si>
    <t>Total Eiger</t>
  </si>
  <si>
    <t>Total VI Advisory</t>
  </si>
  <si>
    <t>Total AMER PARTNERS</t>
  </si>
  <si>
    <t>Total KTALYST INVESTMENTS</t>
  </si>
  <si>
    <t>Total Parts Commandité</t>
  </si>
  <si>
    <t>Total général</t>
  </si>
  <si>
    <t>Actif net selon inventaire</t>
  </si>
  <si>
    <t>Actif net non affecté</t>
  </si>
  <si>
    <t>Ecart/part</t>
  </si>
  <si>
    <t>Conclusion</t>
  </si>
  <si>
    <t>Frais de gestion 
de la société de gestion</t>
  </si>
  <si>
    <t>Charges</t>
  </si>
  <si>
    <t>Rémunération de la société de gestion</t>
  </si>
  <si>
    <t>Sous-total frais de gestion de la société de gestion</t>
  </si>
  <si>
    <t>Autres frais de gestion</t>
  </si>
  <si>
    <t>Base de calcul</t>
  </si>
  <si>
    <t>Prorata temporis</t>
  </si>
  <si>
    <t>Taux</t>
  </si>
  <si>
    <t>TVA</t>
  </si>
  <si>
    <t>Calcul provisions</t>
  </si>
  <si>
    <t>Charges comptabilisés</t>
  </si>
  <si>
    <t xml:space="preserve">Honoraires CAC </t>
  </si>
  <si>
    <t>Budget 2025 3 660€ HT / an</t>
  </si>
  <si>
    <t>Provision 1T2025</t>
  </si>
  <si>
    <t>Provision 2T2025</t>
  </si>
  <si>
    <t>Provision 3T2025</t>
  </si>
  <si>
    <t>Provision 4T2025</t>
  </si>
  <si>
    <t>Facture 1S2025</t>
  </si>
  <si>
    <t>Provision complémentaire 1S2025</t>
  </si>
  <si>
    <t>Honoraires comptables - Aplitec</t>
  </si>
  <si>
    <t>AIFM budget 2025 428€ HT /an</t>
  </si>
  <si>
    <t>Facture AIFM 1T2025</t>
  </si>
  <si>
    <t>Facture AIFM 2T2025</t>
  </si>
  <si>
    <t>Facture AIFM 3T2025</t>
  </si>
  <si>
    <t>Provision AIFM 4T2025</t>
  </si>
  <si>
    <t>Tenue Comptable budget 2025 5 440€ HT /an</t>
  </si>
  <si>
    <t>Facture VL 1T2025</t>
  </si>
  <si>
    <t>Facture VL 2T2025</t>
  </si>
  <si>
    <t>Facture VL 3T2025</t>
  </si>
  <si>
    <t>Provision VL 4T2025</t>
  </si>
  <si>
    <t>Déclaration BDF budget 2025 440€ HT /an</t>
  </si>
  <si>
    <t>Facture BDF 1T2025</t>
  </si>
  <si>
    <t>Facture BDF 2T2025</t>
  </si>
  <si>
    <t>Facture BDF 3T2025</t>
  </si>
  <si>
    <t>Provision BDF 4T2025</t>
  </si>
  <si>
    <t>Dépôt VL Base GECO Budget 2024 280€ HT /an</t>
  </si>
  <si>
    <t>Facture dépôt VL 1T2025</t>
  </si>
  <si>
    <t>Facture dépôt VL 2T2025</t>
  </si>
  <si>
    <t>Facture dépôt VL 3T2025</t>
  </si>
  <si>
    <t>Provision dépôt VL 4T2025</t>
  </si>
  <si>
    <t>Frais de dépositaire</t>
  </si>
  <si>
    <t xml:space="preserve">Budget  minimum 10 000 HT par an </t>
  </si>
  <si>
    <r>
      <t xml:space="preserve">Distribution </t>
    </r>
    <r>
      <rPr>
        <sz val="10"/>
        <color rgb="FFFF0000"/>
        <rFont val="Arial"/>
        <family val="2"/>
      </rPr>
      <t>(500€ HT par distribution)</t>
    </r>
  </si>
  <si>
    <t>Facture dépositaire 1T2025</t>
  </si>
  <si>
    <t>Facture dépositaire 2T2025</t>
  </si>
  <si>
    <t>Provision dépositaire 3T2025</t>
  </si>
  <si>
    <t>Provision dépositaire 4T2025</t>
  </si>
  <si>
    <t>Facture tenue compte espèce 1T2025</t>
  </si>
  <si>
    <t>Facture tenue compte espèce 2T2025</t>
  </si>
  <si>
    <t>Provision tenue compte espèce 3T2025</t>
  </si>
  <si>
    <t>Provision tenue compte espèce 4T2025</t>
  </si>
  <si>
    <t>Extourne Provision dépositaire 1S2024</t>
  </si>
  <si>
    <t>Facture 1S2024</t>
  </si>
  <si>
    <t>Extourne Provision dépositaire 2S2024</t>
  </si>
  <si>
    <t>Facture 2S2024</t>
  </si>
  <si>
    <t>Frais associé Commandité</t>
  </si>
  <si>
    <t>Facture 2024</t>
  </si>
  <si>
    <t>Rem GP Budget 2025 475,87€ HT /an</t>
  </si>
  <si>
    <t>Facture 2025</t>
  </si>
  <si>
    <t>Ajustement exercices antérieurs</t>
  </si>
  <si>
    <t>Total frais de gestion</t>
  </si>
  <si>
    <t>Balance</t>
  </si>
  <si>
    <t>Agios</t>
  </si>
  <si>
    <t xml:space="preserve">Remuneration Ebd </t>
  </si>
  <si>
    <t xml:space="preserve">Commission d'arrangement </t>
  </si>
  <si>
    <t xml:space="preserve">Commission d'engagement </t>
  </si>
  <si>
    <t>Frais d'étude et d'audit acquisition et cession</t>
  </si>
  <si>
    <t>Frais sur Deals réalisé</t>
  </si>
  <si>
    <t>Frais sur Deals non réalisé</t>
  </si>
  <si>
    <t>Frais AG</t>
  </si>
  <si>
    <t>Assistance juridique</t>
  </si>
  <si>
    <t>Autres frais de gestion courante</t>
  </si>
  <si>
    <t>Solde d’ouverture PVMV latentes nettes</t>
  </si>
  <si>
    <t>Moins-values réalisées de l'exercice</t>
  </si>
  <si>
    <t>Créances et dettes :</t>
  </si>
  <si>
    <t>Refacturation EMZ</t>
  </si>
  <si>
    <t xml:space="preserve">Crédit vendeur </t>
  </si>
  <si>
    <t>Nominal crédit vendeur</t>
  </si>
  <si>
    <t>Compte 46220010</t>
  </si>
  <si>
    <t>Intérêt crédit vendeur</t>
  </si>
  <si>
    <t>Compte 46220011</t>
  </si>
  <si>
    <t xml:space="preserve"> </t>
  </si>
  <si>
    <t>EMZ Partners</t>
  </si>
  <si>
    <t xml:space="preserve">Solde </t>
  </si>
  <si>
    <t>Honoraires CAC -  Deloitte</t>
  </si>
  <si>
    <t xml:space="preserve">Provision 2T2025 - Solde </t>
  </si>
  <si>
    <t>Honoraires comptables - Avant reprise</t>
  </si>
  <si>
    <t>Honoraires comptables - APLITEC</t>
  </si>
  <si>
    <t>Honoraires dépositaire - CACEIS</t>
  </si>
  <si>
    <t>Rémunération de l'associé commandité</t>
  </si>
  <si>
    <t xml:space="preserve">Bilan au </t>
  </si>
  <si>
    <t>en euros</t>
  </si>
  <si>
    <t>Texte de référence :</t>
  </si>
  <si>
    <t>article 421-1 Bilan actif du rglt ANC 2020-07</t>
  </si>
  <si>
    <t>ACTIF</t>
  </si>
  <si>
    <t>article 421-2 Bilan passif du rglt ANC 2020-07</t>
  </si>
  <si>
    <t>Exercice N</t>
  </si>
  <si>
    <t>annexe n°9 du guide d'implantation</t>
  </si>
  <si>
    <t>article L214-20 du Comofi</t>
  </si>
  <si>
    <t>Pas de comparatif la première année d'application</t>
  </si>
  <si>
    <t>TITRES FINANCIERS</t>
  </si>
  <si>
    <t>Actions et valeurs assimilées (A)</t>
  </si>
  <si>
    <t>- négociés sur un marché réglementé ou assimilé</t>
  </si>
  <si>
    <t>Actions</t>
  </si>
  <si>
    <t>- non négociés sur un marché réglementé ou assimilé</t>
  </si>
  <si>
    <t>AC/AD/SA/BS</t>
  </si>
  <si>
    <t>Obligations convertibles en actions (B)</t>
  </si>
  <si>
    <t>Obligations et valeurs assimilées (C)</t>
  </si>
  <si>
    <t>OS/OR</t>
  </si>
  <si>
    <t>Titres de créances (D)</t>
  </si>
  <si>
    <t>Parts d'OPC et de fonds d'investissements (E)</t>
  </si>
  <si>
    <t>- OPCVM</t>
  </si>
  <si>
    <t>FCP/SICAV</t>
  </si>
  <si>
    <t>- FIA et équivalents d'autres Etats membres de l'Union Européenne</t>
  </si>
  <si>
    <t>FCPR/FPCI/FCPI/SLP</t>
  </si>
  <si>
    <t>- Autres OPC et fonds d'investissement</t>
  </si>
  <si>
    <t>Dépôts (F)</t>
  </si>
  <si>
    <t>Instruments financiers à terme (G)</t>
  </si>
  <si>
    <t>Parts d'OPC et de fonds d'investissements (H)</t>
  </si>
  <si>
    <t>- Créances représentatives de titres financiers reçus en pension</t>
  </si>
  <si>
    <t>- Créances représentatives de titres donnés en garantie</t>
  </si>
  <si>
    <t>- Créances représentatives de titres financiers prêtés</t>
  </si>
  <si>
    <t>- titres financiers donnés en pension</t>
  </si>
  <si>
    <t>- Autres opérations temporaires</t>
  </si>
  <si>
    <t>Prêts (I)</t>
  </si>
  <si>
    <t>CC/PR/NO</t>
  </si>
  <si>
    <t>Autres actifs éligibles (J)</t>
  </si>
  <si>
    <t>Sous-total actifs éligibles I = (A + B + C + D + E + F + G + H + I + J)</t>
  </si>
  <si>
    <t>CREANCES ET COMPTES D'AJUSTEMENT ACTIFS</t>
  </si>
  <si>
    <t>COMPTES FINANCIERS</t>
  </si>
  <si>
    <t>Sous-total actifs autres que les actifs éligibles II</t>
  </si>
  <si>
    <t>TOTAL DE L'ACTIF I + II</t>
  </si>
  <si>
    <t xml:space="preserve">PASSIF </t>
  </si>
  <si>
    <t>CAPITAUX PROPRES</t>
  </si>
  <si>
    <t>Capital (1)</t>
  </si>
  <si>
    <t>Report à nouveau sur revenu net</t>
  </si>
  <si>
    <t>Report à nouveau des plus et moins-values latentes nettes</t>
  </si>
  <si>
    <t>Report à nouveau des plus et moins-values réalisées nettes</t>
  </si>
  <si>
    <t>Résultat net de l'exercice</t>
  </si>
  <si>
    <t>Sous-total capitaux propres I</t>
  </si>
  <si>
    <t>( = montant représentatif de l'actif net )</t>
  </si>
  <si>
    <t>PASSIFS ELIGIBLES</t>
  </si>
  <si>
    <t>Instruments financiers</t>
  </si>
  <si>
    <t>Emprunts</t>
  </si>
  <si>
    <t>Autres passifs éligibles</t>
  </si>
  <si>
    <t>Sous-total passifs éligibles II</t>
  </si>
  <si>
    <t>AUTRES PASSIFS</t>
  </si>
  <si>
    <t>Dettes et comptes d'ajustement passifs</t>
  </si>
  <si>
    <t>Concours bancaires</t>
  </si>
  <si>
    <t>Sous-total autres passifs III</t>
  </si>
  <si>
    <t>TOTAL DU PASSIF : I + II + III</t>
  </si>
  <si>
    <t>(1) capital sous déduction du capital souscrit non appelé et des répartitions d'actifs</t>
  </si>
  <si>
    <t xml:space="preserve">Compte de résultat au </t>
  </si>
  <si>
    <t xml:space="preserve">COMPTE DE RESULTAT </t>
  </si>
  <si>
    <t>EN EUROS</t>
  </si>
  <si>
    <t xml:space="preserve">Commentaire : </t>
  </si>
  <si>
    <t xml:space="preserve">faire figurer le comparatif (toujours date clôture n-1) </t>
  </si>
  <si>
    <t>Exercice précédent</t>
  </si>
  <si>
    <t xml:space="preserve">Compte de résultat en </t>
  </si>
  <si>
    <t>REVENUS FINANCIERS NETS</t>
  </si>
  <si>
    <r>
      <t xml:space="preserve">PRODUITS SUR OPERATIONS FINANCIERES </t>
    </r>
    <r>
      <rPr>
        <sz val="10"/>
        <rFont val="Times New Roman"/>
        <family val="1"/>
      </rPr>
      <t>(1)</t>
    </r>
  </si>
  <si>
    <t>Produits sur instruments financiers de capital investissement</t>
  </si>
  <si>
    <t>sur actions</t>
  </si>
  <si>
    <t>sur des obligations convertibles en actions</t>
  </si>
  <si>
    <t>sur autres obligations</t>
  </si>
  <si>
    <t>Produits sur instruments du marché monétaire</t>
  </si>
  <si>
    <t>Sur titres de créances négociables</t>
  </si>
  <si>
    <t>Sur autres titres de créances négociés sur un marché réglementé</t>
  </si>
  <si>
    <t>Sur titres de créances non négociés sur un marché réglementé</t>
  </si>
  <si>
    <t>Produit sur les parts d'OPC</t>
  </si>
  <si>
    <t>Produits sur parts d'OPC</t>
  </si>
  <si>
    <t>Produits sur instruments financiers à termes</t>
  </si>
  <si>
    <t>sur opérations d'échange de taux</t>
  </si>
  <si>
    <t>sur autres contrats financiers</t>
  </si>
  <si>
    <t>Produits sur opérations temporaires de titres</t>
  </si>
  <si>
    <t>Produits sur opération temporaires de titres</t>
  </si>
  <si>
    <t>Produits sur prêts et créances</t>
  </si>
  <si>
    <t>sur avance en compte courant</t>
  </si>
  <si>
    <t>Produits sur autres actifs et passifs éligibles</t>
  </si>
  <si>
    <t>Sur dépôts</t>
  </si>
  <si>
    <t>Fonds de capital investissement - sur avances en compte-courant</t>
  </si>
  <si>
    <t>Sur autres instruments financiers</t>
  </si>
  <si>
    <t>Autres produits financiers</t>
  </si>
  <si>
    <t>Intérêts comptes bancaires</t>
  </si>
  <si>
    <t>Sous-total produits sur opérations financières</t>
  </si>
  <si>
    <t>CHARGES SUR OPERATIONS FINANCIERES</t>
  </si>
  <si>
    <t>Charges sur instruments finaciers à terme</t>
  </si>
  <si>
    <t>Charges sur emprunts</t>
  </si>
  <si>
    <t>Autres charges financières</t>
  </si>
  <si>
    <t>Sous-total charges sur opérations financières</t>
  </si>
  <si>
    <t>TOTAL REVENUS FINANCIERS NETS (A)</t>
  </si>
  <si>
    <t>AUTRES PRODUITS</t>
  </si>
  <si>
    <t>Rétrocession des frais de gestion au bénéfice de l'OPC</t>
  </si>
  <si>
    <t>Autres Produits</t>
  </si>
  <si>
    <t>Versements en garantie de capital ou de performance</t>
  </si>
  <si>
    <t>Produits sur autres actifs éligibles</t>
  </si>
  <si>
    <t>AUTRES CHARGES</t>
  </si>
  <si>
    <t>Frais de gestion de la société de gestion</t>
  </si>
  <si>
    <t>Frais CAC</t>
  </si>
  <si>
    <t>Frais délégation comptable</t>
  </si>
  <si>
    <t>Autres assurances</t>
  </si>
  <si>
    <t>Rémunération GP</t>
  </si>
  <si>
    <t xml:space="preserve">Frais d'audit et d'étude </t>
  </si>
  <si>
    <t>Impôts, taxes et versements assimilés</t>
  </si>
  <si>
    <t>Droit d'enregistrement</t>
  </si>
  <si>
    <t>Autres charges de gestion courante</t>
  </si>
  <si>
    <t>Frais bancaires</t>
  </si>
  <si>
    <t>Primes d'assurance</t>
  </si>
  <si>
    <t>Autres charges</t>
  </si>
  <si>
    <t>Rétrocessions de frais de gestion</t>
  </si>
  <si>
    <t>Sous-total autres produits et autres charges (B)</t>
  </si>
  <si>
    <t>REVENUS NETS AVANT COMPTE DE REGULARISATION C = A - B</t>
  </si>
  <si>
    <t>Régularisation des revenus nets de l'exercice (D)</t>
  </si>
  <si>
    <t>REVENUS NETS I = C + D</t>
  </si>
  <si>
    <t>PLUS OU MOINS-VALUES REALISEES NETTES AVANT COMPTE DE REGULARISATIONS</t>
  </si>
  <si>
    <t>Plus et moins-values réalisées</t>
  </si>
  <si>
    <t>#64 + #74</t>
  </si>
  <si>
    <t>Dont Moins-values réalisées:</t>
  </si>
  <si>
    <t>sur obligations convertibles en actions</t>
  </si>
  <si>
    <t>sur titres de créances</t>
  </si>
  <si>
    <t>sur parts d’OPC</t>
  </si>
  <si>
    <t>sur opérations temporaires de titres financiers</t>
  </si>
  <si>
    <t>sur instruments financiers à terme (y compris change à terme)</t>
  </si>
  <si>
    <t>sur dépôts et autres instruments financiers</t>
  </si>
  <si>
    <t>sur autres actifs éligibles</t>
  </si>
  <si>
    <t>sur comptes financiers</t>
  </si>
  <si>
    <t>sur instruments financiers vendus à découvert</t>
  </si>
  <si>
    <t>sur les passifs de financement émis par l’OFS</t>
  </si>
  <si>
    <t>Dont Plus-values réalisées:</t>
  </si>
  <si>
    <t>Différences de change réalisées sur comptes financiers</t>
  </si>
  <si>
    <t>Indemnités d’assurances perçues</t>
  </si>
  <si>
    <t>Versements reçus en garantie de performance</t>
  </si>
  <si>
    <t>Frais de transactions externes</t>
  </si>
  <si>
    <t>Frais de transactions externes - Frais d'achat de titres</t>
  </si>
  <si>
    <t>Frais de transactions externes - Frais de vente de titres</t>
  </si>
  <si>
    <t>Frais de cession</t>
  </si>
  <si>
    <t>Frais de recherche</t>
  </si>
  <si>
    <t>Versements en garantie de capital ou de performance reçues</t>
  </si>
  <si>
    <t>Sous-total plus ou moins-values réalisées nettes avant compte de régularisation (E)</t>
  </si>
  <si>
    <t>Régularisation des plus ou moins-values réalisées nettes (F)</t>
  </si>
  <si>
    <t>PLUS OU MOINS-VALUES REALISEES NETTES II = E + F</t>
  </si>
  <si>
    <t>PLUS OU MOINS-VALUES LATENTES NETTES AVANT COMPTE DE REGULARISATIONS</t>
  </si>
  <si>
    <t xml:space="preserve">Plus et moins-values latentes en début d’exercice </t>
  </si>
  <si>
    <t>'</t>
  </si>
  <si>
    <t>Variation des plus ou moins-values latentes, yc les écarts de change sur les actifs éligibles</t>
  </si>
  <si>
    <t>#65 + #75</t>
  </si>
  <si>
    <t>Ecarts de change sur les comptes financiers en devises</t>
  </si>
  <si>
    <t xml:space="preserve">Plus ou moins-values latentes nettes en fin d’exercice </t>
  </si>
  <si>
    <t>Variation des différences d’estimation sur les passifs de financement émis par l’OFS</t>
  </si>
  <si>
    <t>Versements à recevoir en garantie de performance</t>
  </si>
  <si>
    <t>Versements à recevoir en coupons courus latents</t>
  </si>
  <si>
    <t>Quote-part des plus-values latentes à restituer aux assureurs</t>
  </si>
  <si>
    <t>Sous-total plus ou moins-values latentes nettes avant compte de régularisation (G)</t>
  </si>
  <si>
    <t>Régularisation des plus ou moins-values latentes nettes (H)</t>
  </si>
  <si>
    <t>PLUS OU MOINS-VALUES LATENTES NETTES III = G + H</t>
  </si>
  <si>
    <t>ACOMPTES</t>
  </si>
  <si>
    <t>sur revenues nets versés au titre de l'exercice (J)</t>
  </si>
  <si>
    <t>sur plus ou moins-values réalisées nettes versés au titre de l'exercice (K)</t>
  </si>
  <si>
    <t>sur plus ou moins-values latentes nettes versés au titre de l'exercice (L)</t>
  </si>
  <si>
    <t xml:space="preserve">TOTAL ACOMPTES VERSES AU TITRE DE L'EXERCICE IV = J + K </t>
  </si>
  <si>
    <t>IMPOTS SUR LE RESULTAT V</t>
  </si>
  <si>
    <t>RESULTAT NET</t>
  </si>
  <si>
    <t>( I + II + III - IV - V )</t>
  </si>
  <si>
    <t>contrôle</t>
  </si>
  <si>
    <t>(1) Selon l'affectation fiscale des revenus reçus des OPC</t>
  </si>
  <si>
    <t>à renseigner pour les comptes annuels</t>
  </si>
  <si>
    <t xml:space="preserve">1er semestre </t>
  </si>
  <si>
    <t>Validation EB 02/01/2026</t>
  </si>
  <si>
    <t xml:space="preserve">2e semestre </t>
  </si>
  <si>
    <t xml:space="preserve">Actif net moyen </t>
  </si>
  <si>
    <t xml:space="preserve">Frais de gestion </t>
  </si>
  <si>
    <t xml:space="preserve">Taux de frais de gestion </t>
  </si>
  <si>
    <t>Evolution des capitaux propres</t>
  </si>
  <si>
    <t>Variation</t>
  </si>
  <si>
    <t>Texte de référence : article 433-2</t>
  </si>
  <si>
    <t>Apports</t>
  </si>
  <si>
    <t>+</t>
  </si>
  <si>
    <t>Reconstitution de la ligne "capitaux propres" des fonds de capital investissement et autres véhicules</t>
  </si>
  <si>
    <t>Capital souscrit</t>
  </si>
  <si>
    <t>Capital non appelé</t>
  </si>
  <si>
    <t>-</t>
  </si>
  <si>
    <t>Emission de passifs de financement (ne concerne que les OFS)</t>
  </si>
  <si>
    <t>Résultat de gestion</t>
  </si>
  <si>
    <t>+/-</t>
  </si>
  <si>
    <t>Revenus nets de l'exercice</t>
  </si>
  <si>
    <t>Cumul des revenus nets des exercices précédents</t>
  </si>
  <si>
    <t>Plus ou moins-values réalisées nettes</t>
  </si>
  <si>
    <t>Plus ou moins-values réalisées nettes de l'exercice</t>
  </si>
  <si>
    <t>Cumul plus ou moins-values réalisées nettes des exercices précédents</t>
  </si>
  <si>
    <t>Variation des plus ou moins-values latentes nettes</t>
  </si>
  <si>
    <t>Plus ou moins-values latentes nettes de l'exercice</t>
  </si>
  <si>
    <t>Cumul plus ou moins-values latentes nettes des exercices précédents</t>
  </si>
  <si>
    <t>Boni de liquidation</t>
  </si>
  <si>
    <t>Rachats et répartitions d'actifs</t>
  </si>
  <si>
    <t>Rachats</t>
  </si>
  <si>
    <t>Répartition d'actifs</t>
  </si>
  <si>
    <t>Distribution de résultats nets</t>
  </si>
  <si>
    <t>Distribution de plus et moins-values réalisées nettes</t>
  </si>
  <si>
    <t>Remboursement de passifs de financement (ne concerne que les OFS)</t>
  </si>
  <si>
    <t>Autres éléments</t>
  </si>
  <si>
    <t>Capitaux propres en fin d'exercice</t>
  </si>
  <si>
    <t>=</t>
  </si>
  <si>
    <t>Autres éléments :</t>
  </si>
  <si>
    <t>Frais de constitution</t>
  </si>
  <si>
    <t>Prime de souscription</t>
  </si>
  <si>
    <t>Contrôle de l'actif net selon l'inventaire :</t>
  </si>
  <si>
    <t>Conclusion après valorisation</t>
  </si>
  <si>
    <t>Conclusion avant valorisation</t>
  </si>
  <si>
    <t>Rapprochement bancaire au</t>
  </si>
  <si>
    <t>CACEIS compte 00500242947</t>
  </si>
  <si>
    <t>OPC</t>
  </si>
  <si>
    <t>DEPOSITAIRE</t>
  </si>
  <si>
    <t>Montant</t>
  </si>
  <si>
    <t>Date de régularisation</t>
  </si>
  <si>
    <t xml:space="preserve">Solde comptable </t>
  </si>
  <si>
    <t>Solde bancaire</t>
  </si>
  <si>
    <t>Ecart pour contrôle</t>
  </si>
  <si>
    <t>TOTAL DISPONIBILITES</t>
  </si>
  <si>
    <t>Rapprochement Portefeuille/ balance :</t>
  </si>
  <si>
    <t>Classe</t>
  </si>
  <si>
    <t>Comptes débiteurs/créditeurs</t>
  </si>
  <si>
    <t>Soldes balance</t>
  </si>
  <si>
    <t>Solde net</t>
  </si>
  <si>
    <t>Différence</t>
  </si>
  <si>
    <t>Classe 1</t>
  </si>
  <si>
    <t>comptes débiteurs</t>
  </si>
  <si>
    <t>comptes créditeurs</t>
  </si>
  <si>
    <t>Sous total</t>
  </si>
  <si>
    <t>Classe 6</t>
  </si>
  <si>
    <t>Classe 7</t>
  </si>
  <si>
    <t>Classe 3</t>
  </si>
  <si>
    <t>Contrôle avant valorisation</t>
  </si>
  <si>
    <t>valo</t>
  </si>
  <si>
    <t>Classe 4</t>
  </si>
  <si>
    <t>Classe 5</t>
  </si>
  <si>
    <t>CONTRÔLE</t>
  </si>
  <si>
    <t>SANCY SLP</t>
  </si>
  <si>
    <t>BALANCE GENERALE</t>
  </si>
  <si>
    <t>Période du 01/01/2025 au 31/12/2025</t>
  </si>
  <si>
    <t>Exporté le02/01/2026</t>
  </si>
  <si>
    <t>Débit</t>
  </si>
  <si>
    <t>Crédit</t>
  </si>
  <si>
    <t>Solde Débit</t>
  </si>
  <si>
    <t>Solde Crédit</t>
  </si>
  <si>
    <t>10111000</t>
  </si>
  <si>
    <t>Capital souscrit parts A</t>
  </si>
  <si>
    <t>10111220</t>
  </si>
  <si>
    <t>Capital souscrit parts commandité</t>
  </si>
  <si>
    <t>10150010</t>
  </si>
  <si>
    <t>Revenu net capitalisé s/ex. préc.</t>
  </si>
  <si>
    <t>10150030</t>
  </si>
  <si>
    <t>PVMV latentes nettes cap. s/ex. préc.</t>
  </si>
  <si>
    <t>10191100</t>
  </si>
  <si>
    <t>Parts A souscrites non  appelées</t>
  </si>
  <si>
    <t>10191400</t>
  </si>
  <si>
    <t>Capital Souscrit Non Appele Parts Gp</t>
  </si>
  <si>
    <t>12000000</t>
  </si>
  <si>
    <t>Résultat de l'exercice (solde créditeur)</t>
  </si>
  <si>
    <t>13011100</t>
  </si>
  <si>
    <t>Frais De Constit. Fusion Appor</t>
  </si>
  <si>
    <t>30261100</t>
  </si>
  <si>
    <t>Heka Invest - AO</t>
  </si>
  <si>
    <t>37000000</t>
  </si>
  <si>
    <t>Différence d'estimation sur actions</t>
  </si>
  <si>
    <t>37021100</t>
  </si>
  <si>
    <t>Var.Dif.Est Heka Invest - AO</t>
  </si>
  <si>
    <t>46310000</t>
  </si>
  <si>
    <t>Honoraires Commissaire aux comptes</t>
  </si>
  <si>
    <t>46320000</t>
  </si>
  <si>
    <t>Honoraires Expert comptable</t>
  </si>
  <si>
    <t>46330000</t>
  </si>
  <si>
    <t>46340100</t>
  </si>
  <si>
    <t>46370000</t>
  </si>
  <si>
    <t>51111100</t>
  </si>
  <si>
    <t>61121000</t>
  </si>
  <si>
    <t>Frais de commissaire aux comptes</t>
  </si>
  <si>
    <t>61122000</t>
  </si>
  <si>
    <t>Frais d'expert comptable</t>
  </si>
  <si>
    <t>61123000</t>
  </si>
  <si>
    <t>61125000</t>
  </si>
  <si>
    <t>61126000</t>
  </si>
  <si>
    <t>61500000</t>
  </si>
  <si>
    <t>65100000</t>
  </si>
  <si>
    <t>75500000</t>
  </si>
  <si>
    <t>PVMV latentes nettes s/actions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</si>
</sst>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7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\ _F_-;\-* #,##0\ _F_-;_-* &quot;-&quot;\ _F_-;_-@_-"/>
    <numFmt numFmtId="166" formatCode="_-* #,##0.00\ &quot;F&quot;_-;\-* #,##0.00\ &quot;F&quot;_-;_-* &quot;-&quot;??\ &quot;F&quot;_-;_-@_-"/>
    <numFmt numFmtId="167" formatCode="_-* #,##0.00\ _F_-;\-* #,##0.00\ _F_-;_-* &quot;-&quot;??\ _F_-;_-@_-"/>
    <numFmt numFmtId="168" formatCode="_-* #,##0\ _F_-;\-* #,##0\ _F_-;_-* &quot;-&quot;??\ _F_-;_-@_-"/>
    <numFmt numFmtId="169" formatCode="_-* #,##0.00\ _F_-;\-* #,##0.00\ _F_-;_-* &quot;-&quot;\ _F_-;_-@_-"/>
    <numFmt numFmtId="170" formatCode="_-* #,##0.000000\ _F_-;\-* #,##0.000000\ _F_-;_-* &quot;-&quot;??\ _F_-;_-@_-"/>
    <numFmt numFmtId="171" formatCode="#,##0.00\ _F"/>
    <numFmt numFmtId="172" formatCode="0.0%"/>
    <numFmt numFmtId="173" formatCode="dd/mm/yy;@"/>
    <numFmt numFmtId="174" formatCode="_-* #,##0.00\ [$€-1]_-;\-* #,##0.00\ [$€-1]_-;_-* &quot;-&quot;??\ [$€-1]_-"/>
    <numFmt numFmtId="175" formatCode="#,##0.0"/>
    <numFmt numFmtId="176" formatCode="_-* #,##0.00\ [$€]_-;\-* #,##0.00\ [$€]_-;_-* &quot;-&quot;??\ [$€]_-;_-@_-"/>
    <numFmt numFmtId="177" formatCode="_-* #,##0.00\ _F_-;\-* #,##0.00\ _F_-;_-* \-??\ _F_-;_-@_-"/>
    <numFmt numFmtId="178" formatCode="_-* #,##0.0\ _F_-;\-* #,##0.0\ _F_-;_-* &quot;-&quot;??\ _F_-;_-@_-"/>
    <numFmt numFmtId="179" formatCode="0.00000"/>
    <numFmt numFmtId="180" formatCode="#,##0.00_ ;\-#,##0.00\ "/>
    <numFmt numFmtId="181" formatCode="[$-40C]d\-mmm\-yy;@"/>
    <numFmt numFmtId="182" formatCode="_-* #,##0.000\ _F_-;\-* #,##0.000\ _F_-;_-* &quot;-&quot;??\ _F_-;_-@_-"/>
    <numFmt numFmtId="183" formatCode="_-* #,##0.0000\ _F_-;\-* #,##0.0000\ _F_-;_-* &quot;-&quot;??\ _F_-;_-@_-"/>
    <numFmt numFmtId="184" formatCode="_-* #,##0.00000\ _F_-;\-* #,##0.00000\ _F_-;_-* &quot;-&quot;??\ _F_-;_-@_-"/>
    <numFmt numFmtId="185" formatCode="_-* #,##0\ _F_-;\-* #,##0\ _F_-;_-* \-??\ _F_-;_-@_-"/>
    <numFmt numFmtId="186" formatCode="_-* #,##0.00\ [$€-1]_-;\-* #,##0.00\ [$€-1]_-;_-* \-??\ [$€-1]_-"/>
    <numFmt numFmtId="187" formatCode="_ * #,##0.00_)\ &quot;€&quot;_ ;_ * \(#,##0.00\)\ &quot;€&quot;_ ;_ * &quot;-&quot;??_)\ &quot;€&quot;_ ;_ @_ "/>
    <numFmt numFmtId="188" formatCode="#,##0.00;\(#,##0.00\)"/>
    <numFmt numFmtId="189" formatCode="#,##0.00\ &quot;F&quot;;[Red]\-#,##0.00\ &quot;F&quot;"/>
    <numFmt numFmtId="190" formatCode="_-* #,##0.00&quot; F&quot;_-;\-* #,##0.00&quot; F&quot;_-;_-* \-??&quot; F&quot;_-;_-@_-"/>
    <numFmt numFmtId="191" formatCode="#,##0_ ;[Red]\-#,##0\ "/>
    <numFmt numFmtId="192" formatCode="_-* #,##0\ &quot;F&quot;_-;\-* #,##0\ &quot;F&quot;_-;_-* &quot;-&quot;\ &quot;F&quot;_-;_-@_-"/>
    <numFmt numFmtId="193" formatCode="0.0\x"/>
    <numFmt numFmtId="194" formatCode="#,##0_);\(#,##0\);&quot; - &quot;_);@_)"/>
    <numFmt numFmtId="195" formatCode="_-&quot;XDR&quot;* #,##0.00_-;\-&quot;XDR&quot;* #,##0.00_-;_-&quot;XDR&quot;* &quot;-&quot;??_-;_-@_-"/>
    <numFmt numFmtId="196" formatCode="0.000000000"/>
    <numFmt numFmtId="197" formatCode="#,##0.00000_ ;\-#,##0.00000\ "/>
    <numFmt numFmtId="198" formatCode="_-* #,##0.0000000000000000\ _F_-;\-* #,##0.0000000000000000\ _F_-;_-* \-??\ _F_-;_-@_-"/>
    <numFmt numFmtId="199" formatCode="0.0000%"/>
    <numFmt numFmtId="200" formatCode="0.0000000%"/>
    <numFmt numFmtId="201" formatCode="0.000%"/>
    <numFmt numFmtId="202" formatCode="_-* #,##0.0000000\ _€_-;\-* #,##0.0000000\ _€_-;_-* &quot;-&quot;??\ _€_-;_-@_-"/>
    <numFmt numFmtId="203" formatCode="_-* #,##0.00000000000000\ _€_-;\-* #,##0.00000000000000\ _€_-;_-* &quot;-&quot;??\ _€_-;_-@_-"/>
    <numFmt numFmtId="204" formatCode="#,##0.0000"/>
    <numFmt numFmtId="205" formatCode="_-* #,##0.0000\ _€_-;\-* #,##0.0000\ _€_-;_-* &quot;-&quot;????\ _€_-;_-@_-"/>
    <numFmt numFmtId="206" formatCode="_-* #,##0.000000000000000\ _€_-;\-* #,##0.000000000000000\ _€_-;_-* &quot;-&quot;????\ _€_-;_-@_-"/>
  </numFmts>
  <fonts count="13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53"/>
      <name val="Calibri"/>
      <family val="2"/>
    </font>
    <font>
      <sz val="11"/>
      <color indexed="53"/>
      <name val="Calibri"/>
      <family val="2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1"/>
      <color indexed="16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9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b/>
      <sz val="9"/>
      <color indexed="10"/>
      <name val="Times New Roman"/>
      <family val="1"/>
    </font>
    <font>
      <sz val="8"/>
      <name val="Arial"/>
      <family val="2"/>
    </font>
    <font>
      <sz val="14"/>
      <name val="Arial"/>
      <family val="2"/>
    </font>
    <font>
      <b/>
      <sz val="12"/>
      <color indexed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Arial"/>
      <family val="2"/>
    </font>
    <font>
      <i/>
      <sz val="9"/>
      <name val="Arial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7"/>
      <name val="Arial"/>
      <family val="2"/>
    </font>
    <font>
      <sz val="8"/>
      <name val="Times"/>
      <family val="1"/>
    </font>
    <font>
      <sz val="6"/>
      <name val="CG Times (E1)"/>
    </font>
    <font>
      <sz val="11"/>
      <color indexed="37"/>
      <name val="Calibri"/>
      <family val="2"/>
    </font>
    <font>
      <i/>
      <sz val="11"/>
      <color indexed="63"/>
      <name val="Calibri"/>
      <family val="2"/>
    </font>
    <font>
      <sz val="11"/>
      <color theme="1"/>
      <name val="Calibri"/>
      <family val="2"/>
    </font>
    <font>
      <u/>
      <sz val="8.5"/>
      <color indexed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18"/>
      <name val="Arial"/>
      <family val="2"/>
    </font>
    <font>
      <b/>
      <sz val="9"/>
      <color indexed="9"/>
      <name val="Arial"/>
      <family val="2"/>
    </font>
    <font>
      <sz val="8"/>
      <color indexed="12"/>
      <name val="Arial"/>
      <family val="2"/>
    </font>
    <font>
      <sz val="9"/>
      <color indexed="8"/>
      <name val="Arial"/>
      <family val="2"/>
    </font>
    <font>
      <u/>
      <sz val="9"/>
      <color indexed="21"/>
      <name val="Arial"/>
      <family val="2"/>
    </font>
    <font>
      <sz val="10"/>
      <name val="Arial Narrow"/>
      <family val="2"/>
    </font>
    <font>
      <b/>
      <sz val="10"/>
      <color indexed="25"/>
      <name val="Arial Narrow"/>
      <family val="2"/>
    </font>
    <font>
      <sz val="9"/>
      <name val="Futura UBS Bk"/>
      <family val="2"/>
    </font>
    <font>
      <sz val="10"/>
      <color rgb="FF9C0006"/>
      <name val="Arial"/>
      <family val="2"/>
    </font>
    <font>
      <sz val="10"/>
      <name val="MS Sans Serif"/>
      <family val="2"/>
    </font>
    <font>
      <sz val="10"/>
      <color theme="1"/>
      <name val="Times New Roman"/>
      <family val="2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8"/>
      <color theme="1"/>
      <name val="Palatino Linotype"/>
      <family val="2"/>
    </font>
    <font>
      <sz val="10"/>
      <color theme="1"/>
      <name val="Palatino Linotype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i/>
      <sz val="10"/>
      <color rgb="FFFF0000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name val="Calibri"/>
      <family val="2"/>
    </font>
    <font>
      <b/>
      <sz val="9"/>
      <color rgb="FFFF0000"/>
      <name val="Arial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i/>
      <sz val="10"/>
      <name val="Arial"/>
      <family val="2"/>
    </font>
    <font>
      <b/>
      <sz val="16"/>
      <name val="Arial"/>
      <family val="2"/>
    </font>
    <font>
      <sz val="11"/>
      <color rgb="FF444444"/>
      <name val="Calibri"/>
      <family val="2"/>
    </font>
    <font>
      <b/>
      <u/>
      <sz val="1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8"/>
      <name val="Arial Narrow"/>
      <family val="2"/>
    </font>
    <font>
      <b/>
      <sz val="10"/>
      <name val="Calibri"/>
      <family val="2"/>
    </font>
    <font>
      <b/>
      <sz val="10"/>
      <color theme="1"/>
      <name val="Arial"/>
      <family val="2"/>
    </font>
    <font>
      <sz val="18"/>
      <name val="Times New Roman"/>
      <family val="1"/>
    </font>
    <font>
      <i/>
      <sz val="10"/>
      <name val="Times New Roman"/>
      <family val="1"/>
    </font>
  </fonts>
  <fills count="1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5"/>
        <bgColor indexed="45"/>
      </patternFill>
    </fill>
    <fill>
      <patternFill patternType="solid">
        <fgColor indexed="43"/>
        <bgColor indexed="43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19"/>
      </patternFill>
    </fill>
    <fill>
      <patternFill patternType="solid">
        <fgColor indexed="22"/>
      </patternFill>
    </fill>
    <fill>
      <patternFill patternType="solid">
        <fgColor indexed="5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33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1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50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29"/>
        <bgColor indexed="50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4"/>
        <bgColor indexed="23"/>
      </patternFill>
    </fill>
    <fill>
      <patternFill patternType="solid">
        <fgColor indexed="25"/>
        <bgColor indexed="61"/>
      </patternFill>
    </fill>
    <fill>
      <patternFill patternType="solid">
        <fgColor indexed="26"/>
        <bgColor indexed="9"/>
      </patternFill>
    </fill>
    <fill>
      <patternFill patternType="solid">
        <fgColor indexed="22"/>
        <bgColor indexed="24"/>
      </patternFill>
    </fill>
    <fill>
      <patternFill patternType="solid">
        <fgColor indexed="55"/>
        <bgColor indexed="23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22"/>
      </patternFill>
    </fill>
    <fill>
      <patternFill patternType="solid">
        <fgColor indexed="50"/>
        <bgColor indexed="45"/>
      </patternFill>
    </fill>
    <fill>
      <patternFill patternType="solid">
        <fgColor indexed="41"/>
        <bgColor indexed="31"/>
      </patternFill>
    </fill>
    <fill>
      <patternFill patternType="solid">
        <fgColor indexed="57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9646"/>
        <bgColor rgb="FF000000"/>
      </patternFill>
    </fill>
  </fills>
  <borders count="1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18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000000"/>
      </bottom>
      <diagonal/>
    </border>
    <border>
      <left/>
      <right/>
      <top style="thin">
        <color indexed="8"/>
      </top>
      <bottom style="thin">
        <color rgb="FF000000"/>
      </bottom>
      <diagonal/>
    </border>
    <border>
      <left style="thin">
        <color indexed="64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969">
    <xf numFmtId="0" fontId="0" fillId="0" borderId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3" borderId="0" applyNumberFormat="0" applyBorder="0" applyAlignment="0" applyProtection="0"/>
    <xf numFmtId="181" fontId="22" fillId="23" borderId="0" applyNumberFormat="0" applyBorder="0" applyAlignment="0" applyProtection="0"/>
    <xf numFmtId="0" fontId="22" fillId="23" borderId="0" applyNumberFormat="0" applyBorder="0" applyAlignment="0" applyProtection="0"/>
    <xf numFmtId="0" fontId="22" fillId="23" borderId="0" applyNumberFormat="0" applyBorder="0" applyAlignment="0" applyProtection="0"/>
    <xf numFmtId="181" fontId="22" fillId="23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2" fillId="21" borderId="0" applyNumberFormat="0" applyBorder="0" applyAlignment="0" applyProtection="0"/>
    <xf numFmtId="0" fontId="22" fillId="21" borderId="0" applyNumberFormat="0" applyBorder="0" applyAlignment="0" applyProtection="0"/>
    <xf numFmtId="181" fontId="22" fillId="21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2" fillId="25" borderId="0" applyNumberFormat="0" applyBorder="0" applyAlignment="0" applyProtection="0"/>
    <xf numFmtId="181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181" fontId="22" fillId="25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181" fontId="22" fillId="20" borderId="0" applyNumberFormat="0" applyBorder="0" applyAlignment="0" applyProtection="0"/>
    <xf numFmtId="0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2" fillId="27" borderId="0" applyNumberFormat="0" applyBorder="0" applyAlignment="0" applyProtection="0"/>
    <xf numFmtId="0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1" fillId="27" borderId="0" applyNumberFormat="0" applyBorder="0" applyAlignment="0" applyProtection="0"/>
    <xf numFmtId="181" fontId="21" fillId="27" borderId="0" applyNumberFormat="0" applyBorder="0" applyAlignment="0" applyProtection="0"/>
    <xf numFmtId="0" fontId="21" fillId="27" borderId="0" applyNumberFormat="0" applyBorder="0" applyAlignment="0" applyProtection="0"/>
    <xf numFmtId="181" fontId="21" fillId="27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4" fillId="28" borderId="1" applyNumberFormat="0" applyAlignment="0" applyProtection="0"/>
    <xf numFmtId="181" fontId="24" fillId="28" borderId="1" applyNumberFormat="0" applyAlignment="0" applyProtection="0"/>
    <xf numFmtId="0" fontId="24" fillId="28" borderId="1" applyNumberFormat="0" applyAlignment="0" applyProtection="0"/>
    <xf numFmtId="0" fontId="24" fillId="28" borderId="1" applyNumberFormat="0" applyAlignment="0" applyProtection="0"/>
    <xf numFmtId="0" fontId="24" fillId="28" borderId="1" applyNumberFormat="0" applyAlignment="0" applyProtection="0"/>
    <xf numFmtId="0" fontId="24" fillId="28" borderId="1" applyNumberFormat="0" applyAlignment="0" applyProtection="0"/>
    <xf numFmtId="0" fontId="24" fillId="28" borderId="1" applyNumberFormat="0" applyAlignment="0" applyProtection="0"/>
    <xf numFmtId="181" fontId="24" fillId="28" borderId="1" applyNumberFormat="0" applyAlignment="0" applyProtection="0"/>
    <xf numFmtId="0" fontId="25" fillId="0" borderId="2" applyNumberFormat="0" applyFill="0" applyAlignment="0" applyProtection="0"/>
    <xf numFmtId="181" fontId="25" fillId="0" borderId="2" applyNumberFormat="0" applyFill="0" applyAlignment="0" applyProtection="0"/>
    <xf numFmtId="0" fontId="25" fillId="0" borderId="2" applyNumberFormat="0" applyFill="0" applyAlignment="0" applyProtection="0"/>
    <xf numFmtId="0" fontId="25" fillId="0" borderId="2" applyNumberFormat="0" applyFill="0" applyAlignment="0" applyProtection="0"/>
    <xf numFmtId="0" fontId="25" fillId="0" borderId="2" applyNumberFormat="0" applyFill="0" applyAlignment="0" applyProtection="0"/>
    <xf numFmtId="0" fontId="25" fillId="0" borderId="2" applyNumberFormat="0" applyFill="0" applyAlignment="0" applyProtection="0"/>
    <xf numFmtId="0" fontId="25" fillId="0" borderId="2" applyNumberFormat="0" applyFill="0" applyAlignment="0" applyProtection="0"/>
    <xf numFmtId="181" fontId="25" fillId="0" borderId="2" applyNumberFormat="0" applyFill="0" applyAlignment="0" applyProtection="0"/>
    <xf numFmtId="0" fontId="9" fillId="20" borderId="3" applyNumberFormat="0" applyFont="0" applyAlignment="0" applyProtection="0"/>
    <xf numFmtId="181" fontId="11" fillId="20" borderId="3" applyNumberFormat="0" applyFont="0" applyAlignment="0" applyProtection="0"/>
    <xf numFmtId="0" fontId="11" fillId="20" borderId="3" applyNumberFormat="0" applyFont="0" applyAlignment="0" applyProtection="0"/>
    <xf numFmtId="0" fontId="11" fillId="20" borderId="3" applyNumberFormat="0" applyFont="0" applyAlignment="0" applyProtection="0"/>
    <xf numFmtId="0" fontId="11" fillId="20" borderId="3" applyNumberFormat="0" applyFont="0" applyAlignment="0" applyProtection="0"/>
    <xf numFmtId="0" fontId="11" fillId="20" borderId="3" applyNumberFormat="0" applyFont="0" applyAlignment="0" applyProtection="0"/>
    <xf numFmtId="0" fontId="11" fillId="20" borderId="3" applyNumberFormat="0" applyFont="0" applyAlignment="0" applyProtection="0"/>
    <xf numFmtId="181" fontId="11" fillId="20" borderId="3" applyNumberFormat="0" applyFont="0" applyAlignment="0" applyProtection="0"/>
    <xf numFmtId="0" fontId="26" fillId="29" borderId="0" applyNumberFormat="0" applyBorder="0" applyAlignment="0" applyProtection="0"/>
    <xf numFmtId="181" fontId="26" fillId="29" borderId="0" applyNumberFormat="0" applyBorder="0" applyAlignment="0" applyProtection="0"/>
    <xf numFmtId="0" fontId="26" fillId="29" borderId="0" applyNumberFormat="0" applyBorder="0" applyAlignment="0" applyProtection="0"/>
    <xf numFmtId="181" fontId="26" fillId="29" borderId="0" applyNumberFormat="0" applyBorder="0" applyAlignment="0" applyProtection="0"/>
    <xf numFmtId="0" fontId="26" fillId="30" borderId="0" applyNumberFormat="0" applyBorder="0" applyAlignment="0" applyProtection="0"/>
    <xf numFmtId="181" fontId="26" fillId="30" borderId="0" applyNumberFormat="0" applyBorder="0" applyAlignment="0" applyProtection="0"/>
    <xf numFmtId="0" fontId="26" fillId="30" borderId="0" applyNumberFormat="0" applyBorder="0" applyAlignment="0" applyProtection="0"/>
    <xf numFmtId="181" fontId="26" fillId="30" borderId="0" applyNumberFormat="0" applyBorder="0" applyAlignment="0" applyProtection="0"/>
    <xf numFmtId="0" fontId="26" fillId="31" borderId="0" applyNumberFormat="0" applyBorder="0" applyAlignment="0" applyProtection="0"/>
    <xf numFmtId="181" fontId="26" fillId="31" borderId="0" applyNumberFormat="0" applyBorder="0" applyAlignment="0" applyProtection="0"/>
    <xf numFmtId="0" fontId="26" fillId="31" borderId="0" applyNumberFormat="0" applyBorder="0" applyAlignment="0" applyProtection="0"/>
    <xf numFmtId="181" fontId="26" fillId="31" borderId="0" applyNumberFormat="0" applyBorder="0" applyAlignment="0" applyProtection="0"/>
    <xf numFmtId="0" fontId="27" fillId="27" borderId="1" applyNumberFormat="0" applyAlignment="0" applyProtection="0"/>
    <xf numFmtId="181" fontId="27" fillId="27" borderId="1" applyNumberFormat="0" applyAlignment="0" applyProtection="0"/>
    <xf numFmtId="0" fontId="27" fillId="27" borderId="1" applyNumberFormat="0" applyAlignment="0" applyProtection="0"/>
    <xf numFmtId="0" fontId="27" fillId="27" borderId="1" applyNumberFormat="0" applyAlignment="0" applyProtection="0"/>
    <xf numFmtId="0" fontId="27" fillId="27" borderId="1" applyNumberFormat="0" applyAlignment="0" applyProtection="0"/>
    <xf numFmtId="0" fontId="27" fillId="27" borderId="1" applyNumberFormat="0" applyAlignment="0" applyProtection="0"/>
    <xf numFmtId="0" fontId="27" fillId="27" borderId="1" applyNumberFormat="0" applyAlignment="0" applyProtection="0"/>
    <xf numFmtId="181" fontId="27" fillId="27" borderId="1" applyNumberFormat="0" applyAlignment="0" applyProtection="0"/>
    <xf numFmtId="174" fontId="9" fillId="0" borderId="0" applyFont="0" applyFill="0" applyBorder="0" applyAlignment="0" applyProtection="0"/>
    <xf numFmtId="181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86" fontId="11" fillId="0" borderId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0" fontId="28" fillId="32" borderId="0" applyNumberFormat="0" applyBorder="0" applyAlignment="0" applyProtection="0"/>
    <xf numFmtId="181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0" fontId="28" fillId="32" borderId="0" applyNumberFormat="0" applyBorder="0" applyAlignment="0" applyProtection="0"/>
    <xf numFmtId="181" fontId="28" fillId="32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81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81" fontId="16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9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5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71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71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77" fontId="11" fillId="0" borderId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56" fillId="0" borderId="0" applyFont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11" fillId="0" borderId="0"/>
    <xf numFmtId="181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11" fillId="0" borderId="0"/>
    <xf numFmtId="181" fontId="55" fillId="0" borderId="0"/>
    <xf numFmtId="0" fontId="11" fillId="0" borderId="0"/>
    <xf numFmtId="181" fontId="11" fillId="0" borderId="0"/>
    <xf numFmtId="0" fontId="11" fillId="0" borderId="0"/>
    <xf numFmtId="0" fontId="11" fillId="0" borderId="0"/>
    <xf numFmtId="181" fontId="11" fillId="0" borderId="0"/>
    <xf numFmtId="181" fontId="11" fillId="0" borderId="0"/>
    <xf numFmtId="181" fontId="11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181" fontId="11" fillId="0" borderId="0"/>
    <xf numFmtId="0" fontId="11" fillId="0" borderId="0"/>
    <xf numFmtId="0" fontId="11" fillId="0" borderId="0"/>
    <xf numFmtId="181" fontId="11" fillId="0" borderId="0"/>
    <xf numFmtId="0" fontId="56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9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1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9" fillId="0" borderId="0" applyFill="0" applyBorder="0" applyAlignment="0" applyProtection="0"/>
    <xf numFmtId="0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31" fillId="28" borderId="4" applyNumberFormat="0" applyAlignment="0" applyProtection="0"/>
    <xf numFmtId="181" fontId="31" fillId="28" borderId="4" applyNumberFormat="0" applyAlignment="0" applyProtection="0"/>
    <xf numFmtId="0" fontId="31" fillId="28" borderId="4" applyNumberFormat="0" applyAlignment="0" applyProtection="0"/>
    <xf numFmtId="0" fontId="31" fillId="28" borderId="4" applyNumberFormat="0" applyAlignment="0" applyProtection="0"/>
    <xf numFmtId="0" fontId="31" fillId="28" borderId="4" applyNumberFormat="0" applyAlignment="0" applyProtection="0"/>
    <xf numFmtId="0" fontId="31" fillId="28" borderId="4" applyNumberFormat="0" applyAlignment="0" applyProtection="0"/>
    <xf numFmtId="0" fontId="31" fillId="28" borderId="4" applyNumberFormat="0" applyAlignment="0" applyProtection="0"/>
    <xf numFmtId="181" fontId="31" fillId="28" borderId="4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1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1" fontId="32" fillId="0" borderId="0" applyNumberFormat="0" applyFill="0" applyBorder="0" applyAlignment="0" applyProtection="0"/>
    <xf numFmtId="0" fontId="33" fillId="0" borderId="5" applyNumberFormat="0" applyFill="0" applyAlignment="0" applyProtection="0"/>
    <xf numFmtId="181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181" fontId="33" fillId="0" borderId="5" applyNumberFormat="0" applyFill="0" applyAlignment="0" applyProtection="0"/>
    <xf numFmtId="0" fontId="34" fillId="0" borderId="6" applyNumberFormat="0" applyFill="0" applyAlignment="0" applyProtection="0"/>
    <xf numFmtId="181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181" fontId="34" fillId="0" borderId="6" applyNumberFormat="0" applyFill="0" applyAlignment="0" applyProtection="0"/>
    <xf numFmtId="0" fontId="35" fillId="0" borderId="7" applyNumberFormat="0" applyFill="0" applyAlignment="0" applyProtection="0"/>
    <xf numFmtId="181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0" fontId="35" fillId="0" borderId="7" applyNumberFormat="0" applyFill="0" applyAlignment="0" applyProtection="0"/>
    <xf numFmtId="181" fontId="35" fillId="0" borderId="7" applyNumberFormat="0" applyFill="0" applyAlignment="0" applyProtection="0"/>
    <xf numFmtId="0" fontId="35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0" fontId="26" fillId="0" borderId="8" applyNumberFormat="0" applyFill="0" applyAlignment="0" applyProtection="0"/>
    <xf numFmtId="181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181" fontId="26" fillId="0" borderId="8" applyNumberFormat="0" applyFill="0" applyAlignment="0" applyProtection="0"/>
    <xf numFmtId="0" fontId="36" fillId="22" borderId="9" applyNumberFormat="0" applyAlignment="0" applyProtection="0"/>
    <xf numFmtId="181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181" fontId="36" fillId="22" borderId="9" applyNumberFormat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" fillId="42" borderId="0" applyNumberFormat="0" applyBorder="0" applyAlignment="0" applyProtection="0"/>
    <xf numFmtId="0" fontId="63" fillId="43" borderId="0" applyNumberFormat="0" applyBorder="0" applyAlignment="0" applyProtection="0"/>
    <xf numFmtId="0" fontId="8" fillId="45" borderId="0" applyNumberFormat="0" applyBorder="0" applyAlignment="0" applyProtection="0"/>
    <xf numFmtId="0" fontId="63" fillId="46" borderId="0" applyNumberFormat="0" applyBorder="0" applyAlignment="0" applyProtection="0"/>
    <xf numFmtId="0" fontId="8" fillId="51" borderId="0" applyNumberFormat="0" applyBorder="0" applyAlignment="0" applyProtection="0"/>
    <xf numFmtId="0" fontId="8" fillId="53" borderId="0" applyNumberFormat="0" applyBorder="0" applyAlignment="0" applyProtection="0"/>
    <xf numFmtId="0" fontId="8" fillId="54" borderId="0" applyNumberFormat="0" applyBorder="0" applyAlignment="0" applyProtection="0"/>
    <xf numFmtId="0" fontId="63" fillId="55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0" fontId="8" fillId="0" borderId="0"/>
    <xf numFmtId="181" fontId="60" fillId="0" borderId="0"/>
    <xf numFmtId="181" fontId="24" fillId="28" borderId="33" applyNumberFormat="0" applyAlignment="0" applyProtection="0"/>
    <xf numFmtId="181" fontId="9" fillId="20" borderId="34" applyNumberFormat="0" applyFont="0" applyAlignment="0" applyProtection="0"/>
    <xf numFmtId="181" fontId="27" fillId="27" borderId="33" applyNumberFormat="0" applyAlignment="0" applyProtection="0"/>
    <xf numFmtId="18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1" fontId="9" fillId="0" borderId="0"/>
    <xf numFmtId="181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81" fontId="31" fillId="28" borderId="35" applyNumberFormat="0" applyAlignment="0" applyProtection="0"/>
    <xf numFmtId="181" fontId="26" fillId="0" borderId="36" applyNumberFormat="0" applyFill="0" applyAlignment="0" applyProtection="0"/>
    <xf numFmtId="0" fontId="8" fillId="0" borderId="0"/>
    <xf numFmtId="167" fontId="9" fillId="0" borderId="0" applyFont="0" applyFill="0" applyBorder="0" applyAlignment="0" applyProtection="0"/>
    <xf numFmtId="181" fontId="9" fillId="0" borderId="0"/>
    <xf numFmtId="0" fontId="9" fillId="0" borderId="0"/>
    <xf numFmtId="0" fontId="24" fillId="28" borderId="33" applyNumberFormat="0" applyAlignment="0" applyProtection="0"/>
    <xf numFmtId="181" fontId="24" fillId="28" borderId="33" applyNumberForma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174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181" fontId="9" fillId="0" borderId="0"/>
    <xf numFmtId="181" fontId="9" fillId="0" borderId="0"/>
    <xf numFmtId="0" fontId="9" fillId="0" borderId="0"/>
    <xf numFmtId="181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6" fontId="9" fillId="0" borderId="0" applyFill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166" fontId="9" fillId="0" borderId="0" applyFont="0" applyFill="0" applyBorder="0" applyAlignment="0" applyProtection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1" fontId="9" fillId="0" borderId="0"/>
    <xf numFmtId="0" fontId="8" fillId="0" borderId="0"/>
    <xf numFmtId="174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81" fontId="21" fillId="16" borderId="0" applyNumberFormat="0" applyBorder="0" applyAlignment="0" applyProtection="0"/>
    <xf numFmtId="181" fontId="21" fillId="19" borderId="0" applyNumberFormat="0" applyBorder="0" applyAlignment="0" applyProtection="0"/>
    <xf numFmtId="181" fontId="21" fillId="22" borderId="0" applyNumberFormat="0" applyBorder="0" applyAlignment="0" applyProtection="0"/>
    <xf numFmtId="181" fontId="21" fillId="16" borderId="0" applyNumberFormat="0" applyBorder="0" applyAlignment="0" applyProtection="0"/>
    <xf numFmtId="181" fontId="21" fillId="24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1" fillId="22" borderId="0" applyNumberFormat="0" applyBorder="0" applyAlignment="0" applyProtection="0"/>
    <xf numFmtId="0" fontId="24" fillId="28" borderId="33" applyNumberFormat="0" applyAlignment="0" applyProtection="0"/>
    <xf numFmtId="0" fontId="35" fillId="0" borderId="7" applyNumberFormat="0" applyFill="0" applyAlignment="0" applyProtection="0"/>
    <xf numFmtId="0" fontId="34" fillId="0" borderId="6" applyNumberFormat="0" applyFill="0" applyAlignment="0" applyProtection="0"/>
    <xf numFmtId="0" fontId="30" fillId="23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6" fillId="0" borderId="36" applyNumberFormat="0" applyFill="0" applyAlignment="0" applyProtection="0"/>
    <xf numFmtId="0" fontId="33" fillId="0" borderId="5" applyNumberFormat="0" applyFill="0" applyAlignment="0" applyProtection="0"/>
    <xf numFmtId="0" fontId="9" fillId="20" borderId="34" applyNumberFormat="0" applyFont="0" applyAlignment="0" applyProtection="0"/>
    <xf numFmtId="0" fontId="25" fillId="0" borderId="2" applyNumberFormat="0" applyFill="0" applyAlignment="0" applyProtection="0"/>
    <xf numFmtId="0" fontId="36" fillId="22" borderId="9" applyNumberFormat="0" applyAlignment="0" applyProtection="0"/>
    <xf numFmtId="0" fontId="31" fillId="28" borderId="35" applyNumberFormat="0" applyAlignment="0" applyProtection="0"/>
    <xf numFmtId="9" fontId="9" fillId="0" borderId="0" applyFill="0" applyBorder="0" applyAlignment="0" applyProtection="0"/>
    <xf numFmtId="0" fontId="29" fillId="33" borderId="0" applyNumberFormat="0" applyBorder="0" applyAlignment="0" applyProtection="0"/>
    <xf numFmtId="0" fontId="27" fillId="27" borderId="33" applyNumberFormat="0" applyAlignment="0" applyProtection="0"/>
    <xf numFmtId="177" fontId="9" fillId="0" borderId="0" applyFill="0" applyBorder="0" applyAlignment="0" applyProtection="0"/>
    <xf numFmtId="0" fontId="28" fillId="32" borderId="0" applyNumberFormat="0" applyBorder="0" applyAlignment="0" applyProtection="0"/>
    <xf numFmtId="0" fontId="2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" fillId="0" borderId="0"/>
    <xf numFmtId="0" fontId="80" fillId="0" borderId="0"/>
    <xf numFmtId="0" fontId="9" fillId="0" borderId="0"/>
    <xf numFmtId="0" fontId="9" fillId="0" borderId="0"/>
    <xf numFmtId="0" fontId="80" fillId="0" borderId="0"/>
    <xf numFmtId="0" fontId="9" fillId="0" borderId="0"/>
    <xf numFmtId="0" fontId="9" fillId="0" borderId="0"/>
    <xf numFmtId="0" fontId="76" fillId="0" borderId="0"/>
    <xf numFmtId="0" fontId="80" fillId="0" borderId="0"/>
    <xf numFmtId="0" fontId="76" fillId="0" borderId="0"/>
    <xf numFmtId="0" fontId="76" fillId="0" borderId="0"/>
    <xf numFmtId="0" fontId="7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2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2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8" fillId="41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3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3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8" fillId="44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4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4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8" fillId="47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80" fillId="73" borderId="0" applyNumberFormat="0" applyBorder="0" applyAlignment="0" applyProtection="0"/>
    <xf numFmtId="0" fontId="22" fillId="5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80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5" borderId="0" applyNumberFormat="0" applyBorder="0" applyAlignment="0" applyProtection="0"/>
    <xf numFmtId="0" fontId="80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22" fillId="73" borderId="0" applyNumberFormat="0" applyBorder="0" applyAlignment="0" applyProtection="0"/>
    <xf numFmtId="0" fontId="80" fillId="73" borderId="0" applyNumberFormat="0" applyBorder="0" applyAlignment="0" applyProtection="0"/>
    <xf numFmtId="0" fontId="8" fillId="50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6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6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7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7" borderId="0" applyNumberFormat="0" applyBorder="0" applyAlignment="0" applyProtection="0"/>
    <xf numFmtId="0" fontId="80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0" fillId="74" borderId="0" applyNumberFormat="0" applyBorder="0" applyAlignment="0" applyProtection="0"/>
    <xf numFmtId="0" fontId="22" fillId="9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0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9" borderId="0" applyNumberFormat="0" applyBorder="0" applyAlignment="0" applyProtection="0"/>
    <xf numFmtId="0" fontId="80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22" fillId="74" borderId="0" applyNumberFormat="0" applyBorder="0" applyAlignment="0" applyProtection="0"/>
    <xf numFmtId="0" fontId="80" fillId="74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10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10" borderId="0" applyNumberFormat="0" applyBorder="0" applyAlignment="0" applyProtection="0"/>
    <xf numFmtId="0" fontId="80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22" fillId="72" borderId="0" applyNumberFormat="0" applyBorder="0" applyAlignment="0" applyProtection="0"/>
    <xf numFmtId="0" fontId="80" fillId="72" borderId="0" applyNumberFormat="0" applyBorder="0" applyAlignment="0" applyProtection="0"/>
    <xf numFmtId="0" fontId="8" fillId="48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0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0" fillId="5" borderId="0" applyNumberFormat="0" applyBorder="0" applyAlignment="0" applyProtection="0"/>
    <xf numFmtId="0" fontId="22" fillId="5" borderId="0" applyNumberFormat="0" applyBorder="0" applyAlignment="0" applyProtection="0"/>
    <xf numFmtId="0" fontId="80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80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80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80" fillId="11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0" fontId="21" fillId="9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9" borderId="0" applyNumberFormat="0" applyBorder="0" applyAlignment="0" applyProtection="0"/>
    <xf numFmtId="0" fontId="80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80" fillId="72" borderId="0" applyNumberFormat="0" applyBorder="0" applyAlignment="0" applyProtection="0"/>
    <xf numFmtId="0" fontId="21" fillId="10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80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10" borderId="0" applyNumberFormat="0" applyBorder="0" applyAlignment="0" applyProtection="0"/>
    <xf numFmtId="0" fontId="80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21" fillId="72" borderId="0" applyNumberFormat="0" applyBorder="0" applyAlignment="0" applyProtection="0"/>
    <xf numFmtId="0" fontId="80" fillId="72" borderId="0" applyNumberFormat="0" applyBorder="0" applyAlignment="0" applyProtection="0"/>
    <xf numFmtId="0" fontId="63" fillId="49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80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8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13" borderId="0" applyNumberFormat="0" applyBorder="0" applyAlignment="0" applyProtection="0"/>
    <xf numFmtId="0" fontId="8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80" fillId="5" borderId="0" applyNumberFormat="0" applyBorder="0" applyAlignment="0" applyProtection="0"/>
    <xf numFmtId="0" fontId="63" fillId="52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80" fillId="11" borderId="0" applyNumberFormat="0" applyBorder="0" applyAlignment="0" applyProtection="0"/>
    <xf numFmtId="0" fontId="21" fillId="15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8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5" borderId="0" applyNumberFormat="0" applyBorder="0" applyAlignment="0" applyProtection="0"/>
    <xf numFmtId="0" fontId="8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80" fillId="11" borderId="0" applyNumberFormat="0" applyBorder="0" applyAlignment="0" applyProtection="0"/>
    <xf numFmtId="0" fontId="63" fillId="58" borderId="0" applyNumberFormat="0" applyBorder="0" applyAlignment="0" applyProtection="0"/>
    <xf numFmtId="0" fontId="63" fillId="66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21" fillId="16" borderId="0" applyNumberFormat="0" applyBorder="0" applyAlignment="0" applyProtection="0"/>
    <xf numFmtId="0" fontId="21" fillId="75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80" fillId="75" borderId="0" applyNumberFormat="0" applyBorder="0" applyAlignment="0" applyProtection="0"/>
    <xf numFmtId="181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21" fillId="16" borderId="0" applyNumberFormat="0" applyBorder="0" applyAlignment="0" applyProtection="0"/>
    <xf numFmtId="0" fontId="21" fillId="75" borderId="0" applyNumberFormat="0" applyBorder="0" applyAlignment="0" applyProtection="0"/>
    <xf numFmtId="181" fontId="21" fillId="16" borderId="0" applyNumberFormat="0" applyBorder="0" applyAlignment="0" applyProtection="0"/>
    <xf numFmtId="0" fontId="21" fillId="75" borderId="0" applyNumberFormat="0" applyBorder="0" applyAlignment="0" applyProtection="0"/>
    <xf numFmtId="181" fontId="21" fillId="16" borderId="0" applyNumberFormat="0" applyBorder="0" applyAlignment="0" applyProtection="0"/>
    <xf numFmtId="0" fontId="80" fillId="75" borderId="0" applyNumberFormat="0" applyBorder="0" applyAlignment="0" applyProtection="0"/>
    <xf numFmtId="181" fontId="21" fillId="16" borderId="0" applyNumberFormat="0" applyBorder="0" applyAlignment="0" applyProtection="0"/>
    <xf numFmtId="0" fontId="80" fillId="75" borderId="0" applyNumberFormat="0" applyBorder="0" applyAlignment="0" applyProtection="0"/>
    <xf numFmtId="0" fontId="21" fillId="16" borderId="0" applyNumberFormat="0" applyBorder="0" applyAlignment="0" applyProtection="0"/>
    <xf numFmtId="0" fontId="21" fillId="75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21" fillId="16" borderId="0" applyNumberFormat="0" applyBorder="0" applyAlignment="0" applyProtection="0"/>
    <xf numFmtId="0" fontId="80" fillId="75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5" borderId="0" applyNumberFormat="0" applyBorder="0" applyAlignment="0" applyProtection="0"/>
    <xf numFmtId="0" fontId="63" fillId="67" borderId="0" applyNumberFormat="0" applyBorder="0" applyAlignment="0" applyProtection="0"/>
    <xf numFmtId="181" fontId="22" fillId="20" borderId="0" applyNumberFormat="0" applyBorder="0" applyAlignment="0" applyProtection="0"/>
    <xf numFmtId="181" fontId="22" fillId="21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181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181" fontId="21" fillId="19" borderId="0" applyNumberFormat="0" applyBorder="0" applyAlignment="0" applyProtection="0"/>
    <xf numFmtId="0" fontId="21" fillId="74" borderId="0" applyNumberFormat="0" applyBorder="0" applyAlignment="0" applyProtection="0"/>
    <xf numFmtId="181" fontId="21" fillId="19" borderId="0" applyNumberFormat="0" applyBorder="0" applyAlignment="0" applyProtection="0"/>
    <xf numFmtId="0" fontId="80" fillId="74" borderId="0" applyNumberFormat="0" applyBorder="0" applyAlignment="0" applyProtection="0"/>
    <xf numFmtId="181" fontId="21" fillId="19" borderId="0" applyNumberFormat="0" applyBorder="0" applyAlignment="0" applyProtection="0"/>
    <xf numFmtId="0" fontId="80" fillId="74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19" borderId="0" applyNumberFormat="0" applyBorder="0" applyAlignment="0" applyProtection="0"/>
    <xf numFmtId="0" fontId="80" fillId="74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63" fillId="68" borderId="0" applyNumberFormat="0" applyBorder="0" applyAlignment="0" applyProtection="0"/>
    <xf numFmtId="181" fontId="22" fillId="20" borderId="0" applyNumberFormat="0" applyBorder="0" applyAlignment="0" applyProtection="0"/>
    <xf numFmtId="181" fontId="22" fillId="23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74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74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181" fontId="21" fillId="22" borderId="0" applyNumberFormat="0" applyBorder="0" applyAlignment="0" applyProtection="0"/>
    <xf numFmtId="0" fontId="80" fillId="74" borderId="0" applyNumberFormat="0" applyBorder="0" applyAlignment="0" applyProtection="0"/>
    <xf numFmtId="181" fontId="21" fillId="22" borderId="0" applyNumberFormat="0" applyBorder="0" applyAlignment="0" applyProtection="0"/>
    <xf numFmtId="0" fontId="80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74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80" fillId="74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63" fillId="69" borderId="0" applyNumberFormat="0" applyBorder="0" applyAlignment="0" applyProtection="0"/>
    <xf numFmtId="181" fontId="22" fillId="17" borderId="0" applyNumberFormat="0" applyBorder="0" applyAlignment="0" applyProtection="0"/>
    <xf numFmtId="181" fontId="22" fillId="21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21" fillId="16" borderId="0" applyNumberFormat="0" applyBorder="0" applyAlignment="0" applyProtection="0"/>
    <xf numFmtId="0" fontId="21" fillId="77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80" fillId="77" borderId="0" applyNumberFormat="0" applyBorder="0" applyAlignment="0" applyProtection="0"/>
    <xf numFmtId="181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21" fillId="16" borderId="0" applyNumberFormat="0" applyBorder="0" applyAlignment="0" applyProtection="0"/>
    <xf numFmtId="0" fontId="21" fillId="77" borderId="0" applyNumberFormat="0" applyBorder="0" applyAlignment="0" applyProtection="0"/>
    <xf numFmtId="181" fontId="21" fillId="16" borderId="0" applyNumberFormat="0" applyBorder="0" applyAlignment="0" applyProtection="0"/>
    <xf numFmtId="0" fontId="21" fillId="77" borderId="0" applyNumberFormat="0" applyBorder="0" applyAlignment="0" applyProtection="0"/>
    <xf numFmtId="181" fontId="21" fillId="16" borderId="0" applyNumberFormat="0" applyBorder="0" applyAlignment="0" applyProtection="0"/>
    <xf numFmtId="0" fontId="80" fillId="77" borderId="0" applyNumberFormat="0" applyBorder="0" applyAlignment="0" applyProtection="0"/>
    <xf numFmtId="181" fontId="21" fillId="16" borderId="0" applyNumberFormat="0" applyBorder="0" applyAlignment="0" applyProtection="0"/>
    <xf numFmtId="0" fontId="80" fillId="77" borderId="0" applyNumberFormat="0" applyBorder="0" applyAlignment="0" applyProtection="0"/>
    <xf numFmtId="0" fontId="21" fillId="16" borderId="0" applyNumberFormat="0" applyBorder="0" applyAlignment="0" applyProtection="0"/>
    <xf numFmtId="0" fontId="21" fillId="77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21" fillId="16" borderId="0" applyNumberFormat="0" applyBorder="0" applyAlignment="0" applyProtection="0"/>
    <xf numFmtId="0" fontId="80" fillId="77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77" borderId="0" applyNumberFormat="0" applyBorder="0" applyAlignment="0" applyProtection="0"/>
    <xf numFmtId="0" fontId="63" fillId="70" borderId="0" applyNumberFormat="0" applyBorder="0" applyAlignment="0" applyProtection="0"/>
    <xf numFmtId="181" fontId="22" fillId="25" borderId="0" applyNumberFormat="0" applyBorder="0" applyAlignment="0" applyProtection="0"/>
    <xf numFmtId="181" fontId="22" fillId="17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181" fontId="21" fillId="24" borderId="0" applyNumberFormat="0" applyBorder="0" applyAlignment="0" applyProtection="0"/>
    <xf numFmtId="0" fontId="80" fillId="14" borderId="0" applyNumberFormat="0" applyBorder="0" applyAlignment="0" applyProtection="0"/>
    <xf numFmtId="181" fontId="21" fillId="24" borderId="0" applyNumberFormat="0" applyBorder="0" applyAlignment="0" applyProtection="0"/>
    <xf numFmtId="0" fontId="80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24" borderId="0" applyNumberFormat="0" applyBorder="0" applyAlignment="0" applyProtection="0"/>
    <xf numFmtId="0" fontId="80" fillId="1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63" fillId="71" borderId="0" applyNumberFormat="0" applyBorder="0" applyAlignment="0" applyProtection="0"/>
    <xf numFmtId="181" fontId="22" fillId="20" borderId="0" applyNumberFormat="0" applyBorder="0" applyAlignment="0" applyProtection="0"/>
    <xf numFmtId="181" fontId="22" fillId="27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80" fillId="78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181" fontId="21" fillId="26" borderId="0" applyNumberFormat="0" applyBorder="0" applyAlignment="0" applyProtection="0"/>
    <xf numFmtId="0" fontId="80" fillId="78" borderId="0" applyNumberFormat="0" applyBorder="0" applyAlignment="0" applyProtection="0"/>
    <xf numFmtId="181" fontId="21" fillId="26" borderId="0" applyNumberFormat="0" applyBorder="0" applyAlignment="0" applyProtection="0"/>
    <xf numFmtId="0" fontId="80" fillId="78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26" borderId="0" applyNumberFormat="0" applyBorder="0" applyAlignment="0" applyProtection="0"/>
    <xf numFmtId="0" fontId="80" fillId="78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9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9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1" fillId="0" borderId="0"/>
    <xf numFmtId="0" fontId="81" fillId="0" borderId="0"/>
    <xf numFmtId="0" fontId="81" fillId="0" borderId="0"/>
    <xf numFmtId="0" fontId="80" fillId="0" borderId="0"/>
    <xf numFmtId="0" fontId="9" fillId="0" borderId="0"/>
    <xf numFmtId="0" fontId="9" fillId="0" borderId="0"/>
    <xf numFmtId="0" fontId="80" fillId="0" borderId="0"/>
    <xf numFmtId="0" fontId="80" fillId="0" borderId="0"/>
    <xf numFmtId="0" fontId="81" fillId="0" borderId="0"/>
    <xf numFmtId="0" fontId="80" fillId="0" borderId="0"/>
    <xf numFmtId="0" fontId="80" fillId="0" borderId="0"/>
    <xf numFmtId="0" fontId="9" fillId="0" borderId="0"/>
    <xf numFmtId="0" fontId="80" fillId="0" borderId="0"/>
    <xf numFmtId="0" fontId="9" fillId="0" borderId="0"/>
    <xf numFmtId="0" fontId="8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/>
    <xf numFmtId="0" fontId="80" fillId="0" borderId="0"/>
    <xf numFmtId="0" fontId="81" fillId="0" borderId="0"/>
    <xf numFmtId="0" fontId="7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2" fillId="63" borderId="27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3" fillId="0" borderId="29" applyNumberFormat="0" applyFill="0" applyAlignment="0" applyProtection="0"/>
    <xf numFmtId="0" fontId="25" fillId="0" borderId="2" applyNumberFormat="0" applyFill="0" applyAlignment="0" applyProtection="0"/>
    <xf numFmtId="0" fontId="78" fillId="0" borderId="2" applyNumberFormat="0" applyFill="0" applyAlignment="0" applyProtection="0"/>
    <xf numFmtId="0" fontId="25" fillId="0" borderId="2" applyNumberFormat="0" applyFill="0" applyAlignment="0" applyProtection="0"/>
    <xf numFmtId="0" fontId="78" fillId="0" borderId="2" applyNumberFormat="0" applyFill="0" applyAlignment="0" applyProtection="0"/>
    <xf numFmtId="181" fontId="25" fillId="0" borderId="2" applyNumberFormat="0" applyFill="0" applyAlignment="0" applyProtection="0"/>
    <xf numFmtId="181" fontId="25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80" fillId="0" borderId="2" applyNumberFormat="0" applyFill="0" applyAlignment="0" applyProtection="0"/>
    <xf numFmtId="181" fontId="25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80" fillId="0" borderId="2" applyNumberFormat="0" applyFill="0" applyAlignment="0" applyProtection="0"/>
    <xf numFmtId="0" fontId="78" fillId="0" borderId="2" applyNumberFormat="0" applyFill="0" applyAlignment="0" applyProtection="0"/>
    <xf numFmtId="0" fontId="25" fillId="0" borderId="2" applyNumberFormat="0" applyFill="0" applyAlignment="0" applyProtection="0"/>
    <xf numFmtId="0" fontId="80" fillId="0" borderId="2" applyNumberFormat="0" applyFill="0" applyAlignment="0" applyProtection="0"/>
    <xf numFmtId="0" fontId="78" fillId="0" borderId="2" applyNumberFormat="0" applyFill="0" applyAlignment="0" applyProtection="0"/>
    <xf numFmtId="0" fontId="25" fillId="0" borderId="2" applyNumberFormat="0" applyFill="0" applyAlignment="0" applyProtection="0"/>
    <xf numFmtId="0" fontId="78" fillId="0" borderId="2" applyNumberFormat="0" applyFill="0" applyAlignment="0" applyProtection="0"/>
    <xf numFmtId="0" fontId="80" fillId="0" borderId="2" applyNumberFormat="0" applyFill="0" applyAlignment="0" applyProtection="0"/>
    <xf numFmtId="0" fontId="25" fillId="0" borderId="2" applyNumberFormat="0" applyFill="0" applyAlignment="0" applyProtection="0"/>
    <xf numFmtId="0" fontId="78" fillId="0" borderId="2" applyNumberFormat="0" applyFill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0" fontId="22" fillId="65" borderId="31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70" fillId="62" borderId="27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181" fontId="27" fillId="27" borderId="33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15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6" fontId="9" fillId="0" borderId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6" fontId="9" fillId="0" borderId="0" applyFill="0" applyBorder="0" applyAlignment="0" applyProtection="0"/>
    <xf numFmtId="187" fontId="80" fillId="0" borderId="0" applyFont="0" applyFill="0" applyBorder="0" applyAlignment="0" applyProtection="0"/>
    <xf numFmtId="181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4" fontId="9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68" fillId="60" borderId="0" applyNumberFormat="0" applyBorder="0" applyAlignment="0" applyProtection="0"/>
    <xf numFmtId="0" fontId="28" fillId="32" borderId="0" applyNumberFormat="0" applyBorder="0" applyAlignment="0" applyProtection="0"/>
    <xf numFmtId="0" fontId="79" fillId="80" borderId="0" applyNumberFormat="0" applyBorder="0" applyAlignment="0" applyProtection="0"/>
    <xf numFmtId="0" fontId="28" fillId="32" borderId="0" applyNumberFormat="0" applyBorder="0" applyAlignment="0" applyProtection="0"/>
    <xf numFmtId="0" fontId="79" fillId="80" borderId="0" applyNumberFormat="0" applyBorder="0" applyAlignment="0" applyProtection="0"/>
    <xf numFmtId="181" fontId="28" fillId="32" borderId="0" applyNumberFormat="0" applyBorder="0" applyAlignment="0" applyProtection="0"/>
    <xf numFmtId="181" fontId="28" fillId="32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80" fillId="80" borderId="0" applyNumberFormat="0" applyBorder="0" applyAlignment="0" applyProtection="0"/>
    <xf numFmtId="181" fontId="28" fillId="32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80" fillId="80" borderId="0" applyNumberFormat="0" applyBorder="0" applyAlignment="0" applyProtection="0"/>
    <xf numFmtId="0" fontId="79" fillId="80" borderId="0" applyNumberFormat="0" applyBorder="0" applyAlignment="0" applyProtection="0"/>
    <xf numFmtId="0" fontId="28" fillId="32" borderId="0" applyNumberFormat="0" applyBorder="0" applyAlignment="0" applyProtection="0"/>
    <xf numFmtId="0" fontId="80" fillId="80" borderId="0" applyNumberFormat="0" applyBorder="0" applyAlignment="0" applyProtection="0"/>
    <xf numFmtId="0" fontId="79" fillId="80" borderId="0" applyNumberFormat="0" applyBorder="0" applyAlignment="0" applyProtection="0"/>
    <xf numFmtId="0" fontId="28" fillId="32" borderId="0" applyNumberFormat="0" applyBorder="0" applyAlignment="0" applyProtection="0"/>
    <xf numFmtId="0" fontId="79" fillId="80" borderId="0" applyNumberFormat="0" applyBorder="0" applyAlignment="0" applyProtection="0"/>
    <xf numFmtId="0" fontId="80" fillId="80" borderId="0" applyNumberFormat="0" applyBorder="0" applyAlignment="0" applyProtection="0"/>
    <xf numFmtId="0" fontId="28" fillId="32" borderId="0" applyNumberFormat="0" applyBorder="0" applyAlignment="0" applyProtection="0"/>
    <xf numFmtId="0" fontId="79" fillId="80" borderId="0" applyNumberFormat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71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5" fillId="0" borderId="0" applyFont="0" applyFill="0" applyBorder="0" applyAlignment="0" applyProtection="0"/>
    <xf numFmtId="17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69" fillId="61" borderId="0" applyNumberFormat="0" applyBorder="0" applyAlignment="0" applyProtection="0"/>
    <xf numFmtId="0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29" fillId="33" borderId="0" applyNumberFormat="0" applyBorder="0" applyAlignment="0" applyProtection="0"/>
    <xf numFmtId="0" fontId="83" fillId="81" borderId="0" applyNumberFormat="0" applyBorder="0" applyAlignment="0" applyProtection="0"/>
    <xf numFmtId="181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0" fillId="81" borderId="0" applyNumberFormat="0" applyBorder="0" applyAlignment="0" applyProtection="0"/>
    <xf numFmtId="181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0" fillId="81" borderId="0" applyNumberFormat="0" applyBorder="0" applyAlignment="0" applyProtection="0"/>
    <xf numFmtId="0" fontId="83" fillId="81" borderId="0" applyNumberFormat="0" applyBorder="0" applyAlignment="0" applyProtection="0"/>
    <xf numFmtId="0" fontId="29" fillId="33" borderId="0" applyNumberFormat="0" applyBorder="0" applyAlignment="0" applyProtection="0"/>
    <xf numFmtId="0" fontId="80" fillId="81" borderId="0" applyNumberFormat="0" applyBorder="0" applyAlignment="0" applyProtection="0"/>
    <xf numFmtId="0" fontId="83" fillId="81" borderId="0" applyNumberFormat="0" applyBorder="0" applyAlignment="0" applyProtection="0"/>
    <xf numFmtId="0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80" fillId="81" borderId="0" applyNumberFormat="0" applyBorder="0" applyAlignment="0" applyProtection="0"/>
    <xf numFmtId="0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1" fontId="9" fillId="0" borderId="0"/>
    <xf numFmtId="181" fontId="9" fillId="0" borderId="0"/>
    <xf numFmtId="0" fontId="9" fillId="0" borderId="0"/>
    <xf numFmtId="0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181" fontId="9" fillId="0" borderId="0"/>
    <xf numFmtId="181" fontId="9" fillId="0" borderId="0"/>
    <xf numFmtId="0" fontId="8" fillId="0" borderId="0"/>
    <xf numFmtId="181" fontId="9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1" fontId="9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1" fontId="9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8" fontId="82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67" fillId="59" borderId="0" applyNumberFormat="0" applyBorder="0" applyAlignment="0" applyProtection="0"/>
    <xf numFmtId="0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30" fillId="23" borderId="0" applyNumberFormat="0" applyBorder="0" applyAlignment="0" applyProtection="0"/>
    <xf numFmtId="0" fontId="30" fillId="4" borderId="0" applyNumberFormat="0" applyBorder="0" applyAlignment="0" applyProtection="0"/>
    <xf numFmtId="181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80" fillId="4" borderId="0" applyNumberFormat="0" applyBorder="0" applyAlignment="0" applyProtection="0"/>
    <xf numFmtId="181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8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23" borderId="0" applyNumberFormat="0" applyBorder="0" applyAlignment="0" applyProtection="0"/>
    <xf numFmtId="0" fontId="8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80" fillId="4" borderId="0" applyNumberFormat="0" applyBorder="0" applyAlignment="0" applyProtection="0"/>
    <xf numFmtId="0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71" fillId="63" borderId="28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181" fontId="31" fillId="28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9" fillId="0" borderId="0">
      <alignment vertical="top"/>
    </xf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64" fillId="0" borderId="24" applyNumberFormat="0" applyFill="0" applyAlignment="0" applyProtection="0"/>
    <xf numFmtId="0" fontId="33" fillId="0" borderId="5" applyNumberFormat="0" applyFill="0" applyAlignment="0" applyProtection="0"/>
    <xf numFmtId="0" fontId="33" fillId="0" borderId="38" applyNumberFormat="0" applyFill="0" applyAlignment="0" applyProtection="0"/>
    <xf numFmtId="0" fontId="33" fillId="0" borderId="5" applyNumberFormat="0" applyFill="0" applyAlignment="0" applyProtection="0"/>
    <xf numFmtId="0" fontId="33" fillId="0" borderId="38" applyNumberFormat="0" applyFill="0" applyAlignment="0" applyProtection="0"/>
    <xf numFmtId="181" fontId="33" fillId="0" borderId="5" applyNumberFormat="0" applyFill="0" applyAlignment="0" applyProtection="0"/>
    <xf numFmtId="181" fontId="33" fillId="0" borderId="5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80" fillId="0" borderId="38" applyNumberFormat="0" applyFill="0" applyAlignment="0" applyProtection="0"/>
    <xf numFmtId="181" fontId="33" fillId="0" borderId="5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80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5" applyNumberFormat="0" applyFill="0" applyAlignment="0" applyProtection="0"/>
    <xf numFmtId="0" fontId="80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5" applyNumberFormat="0" applyFill="0" applyAlignment="0" applyProtection="0"/>
    <xf numFmtId="0" fontId="33" fillId="0" borderId="38" applyNumberFormat="0" applyFill="0" applyAlignment="0" applyProtection="0"/>
    <xf numFmtId="0" fontId="80" fillId="0" borderId="38" applyNumberFormat="0" applyFill="0" applyAlignment="0" applyProtection="0"/>
    <xf numFmtId="0" fontId="33" fillId="0" borderId="5" applyNumberFormat="0" applyFill="0" applyAlignment="0" applyProtection="0"/>
    <xf numFmtId="0" fontId="33" fillId="0" borderId="38" applyNumberFormat="0" applyFill="0" applyAlignment="0" applyProtection="0"/>
    <xf numFmtId="0" fontId="65" fillId="0" borderId="25" applyNumberFormat="0" applyFill="0" applyAlignment="0" applyProtection="0"/>
    <xf numFmtId="0" fontId="34" fillId="0" borderId="6" applyNumberFormat="0" applyFill="0" applyAlignment="0" applyProtection="0"/>
    <xf numFmtId="0" fontId="34" fillId="0" borderId="39" applyNumberFormat="0" applyFill="0" applyAlignment="0" applyProtection="0"/>
    <xf numFmtId="0" fontId="34" fillId="0" borderId="6" applyNumberFormat="0" applyFill="0" applyAlignment="0" applyProtection="0"/>
    <xf numFmtId="0" fontId="34" fillId="0" borderId="39" applyNumberFormat="0" applyFill="0" applyAlignment="0" applyProtection="0"/>
    <xf numFmtId="181" fontId="34" fillId="0" borderId="6" applyNumberFormat="0" applyFill="0" applyAlignment="0" applyProtection="0"/>
    <xf numFmtId="181" fontId="34" fillId="0" borderId="6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80" fillId="0" borderId="39" applyNumberFormat="0" applyFill="0" applyAlignment="0" applyProtection="0"/>
    <xf numFmtId="181" fontId="34" fillId="0" borderId="6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80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6" applyNumberFormat="0" applyFill="0" applyAlignment="0" applyProtection="0"/>
    <xf numFmtId="0" fontId="80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6" applyNumberFormat="0" applyFill="0" applyAlignment="0" applyProtection="0"/>
    <xf numFmtId="0" fontId="34" fillId="0" borderId="39" applyNumberFormat="0" applyFill="0" applyAlignment="0" applyProtection="0"/>
    <xf numFmtId="0" fontId="80" fillId="0" borderId="39" applyNumberFormat="0" applyFill="0" applyAlignment="0" applyProtection="0"/>
    <xf numFmtId="0" fontId="34" fillId="0" borderId="6" applyNumberFormat="0" applyFill="0" applyAlignment="0" applyProtection="0"/>
    <xf numFmtId="0" fontId="34" fillId="0" borderId="39" applyNumberFormat="0" applyFill="0" applyAlignment="0" applyProtection="0"/>
    <xf numFmtId="0" fontId="66" fillId="0" borderId="26" applyNumberFormat="0" applyFill="0" applyAlignment="0" applyProtection="0"/>
    <xf numFmtId="0" fontId="35" fillId="0" borderId="7" applyNumberFormat="0" applyFill="0" applyAlignment="0" applyProtection="0"/>
    <xf numFmtId="0" fontId="35" fillId="0" borderId="40" applyNumberFormat="0" applyFill="0" applyAlignment="0" applyProtection="0"/>
    <xf numFmtId="0" fontId="35" fillId="0" borderId="7" applyNumberFormat="0" applyFill="0" applyAlignment="0" applyProtection="0"/>
    <xf numFmtId="0" fontId="35" fillId="0" borderId="40" applyNumberFormat="0" applyFill="0" applyAlignment="0" applyProtection="0"/>
    <xf numFmtId="181" fontId="35" fillId="0" borderId="7" applyNumberFormat="0" applyFill="0" applyAlignment="0" applyProtection="0"/>
    <xf numFmtId="181" fontId="35" fillId="0" borderId="7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80" fillId="0" borderId="40" applyNumberFormat="0" applyFill="0" applyAlignment="0" applyProtection="0"/>
    <xf numFmtId="181" fontId="35" fillId="0" borderId="7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80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7" applyNumberFormat="0" applyFill="0" applyAlignment="0" applyProtection="0"/>
    <xf numFmtId="0" fontId="80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7" applyNumberFormat="0" applyFill="0" applyAlignment="0" applyProtection="0"/>
    <xf numFmtId="0" fontId="35" fillId="0" borderId="40" applyNumberFormat="0" applyFill="0" applyAlignment="0" applyProtection="0"/>
    <xf numFmtId="0" fontId="80" fillId="0" borderId="40" applyNumberFormat="0" applyFill="0" applyAlignment="0" applyProtection="0"/>
    <xf numFmtId="0" fontId="35" fillId="0" borderId="7" applyNumberFormat="0" applyFill="0" applyAlignment="0" applyProtection="0"/>
    <xf numFmtId="0" fontId="35" fillId="0" borderId="40" applyNumberFormat="0" applyFill="0" applyAlignment="0" applyProtection="0"/>
    <xf numFmtId="0" fontId="66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59" fillId="0" borderId="32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181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74" fillId="64" borderId="30" applyNumberFormat="0" applyAlignment="0" applyProtection="0"/>
    <xf numFmtId="0" fontId="36" fillId="22" borderId="9" applyNumberFormat="0" applyAlignment="0" applyProtection="0"/>
    <xf numFmtId="0" fontId="36" fillId="82" borderId="9" applyNumberFormat="0" applyAlignment="0" applyProtection="0"/>
    <xf numFmtId="0" fontId="36" fillId="22" borderId="9" applyNumberFormat="0" applyAlignment="0" applyProtection="0"/>
    <xf numFmtId="0" fontId="36" fillId="82" borderId="9" applyNumberFormat="0" applyAlignment="0" applyProtection="0"/>
    <xf numFmtId="181" fontId="36" fillId="22" borderId="9" applyNumberFormat="0" applyAlignment="0" applyProtection="0"/>
    <xf numFmtId="181" fontId="36" fillId="2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80" fillId="82" borderId="9" applyNumberFormat="0" applyAlignment="0" applyProtection="0"/>
    <xf numFmtId="181" fontId="36" fillId="2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80" fillId="82" borderId="9" applyNumberFormat="0" applyAlignment="0" applyProtection="0"/>
    <xf numFmtId="0" fontId="36" fillId="82" borderId="9" applyNumberFormat="0" applyAlignment="0" applyProtection="0"/>
    <xf numFmtId="0" fontId="36" fillId="22" borderId="9" applyNumberFormat="0" applyAlignment="0" applyProtection="0"/>
    <xf numFmtId="0" fontId="80" fillId="82" borderId="9" applyNumberFormat="0" applyAlignment="0" applyProtection="0"/>
    <xf numFmtId="0" fontId="36" fillId="82" borderId="9" applyNumberFormat="0" applyAlignment="0" applyProtection="0"/>
    <xf numFmtId="0" fontId="36" fillId="22" borderId="9" applyNumberFormat="0" applyAlignment="0" applyProtection="0"/>
    <xf numFmtId="0" fontId="36" fillId="82" borderId="9" applyNumberFormat="0" applyAlignment="0" applyProtection="0"/>
    <xf numFmtId="0" fontId="80" fillId="82" borderId="9" applyNumberFormat="0" applyAlignment="0" applyProtection="0"/>
    <xf numFmtId="0" fontId="36" fillId="22" borderId="9" applyNumberFormat="0" applyAlignment="0" applyProtection="0"/>
    <xf numFmtId="0" fontId="36" fillId="82" borderId="9" applyNumberFormat="0" applyAlignment="0" applyProtection="0"/>
    <xf numFmtId="0" fontId="60" fillId="0" borderId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63" fillId="66" borderId="0" applyNumberFormat="0" applyBorder="0" applyAlignment="0" applyProtection="0"/>
    <xf numFmtId="181" fontId="21" fillId="16" borderId="0" applyNumberFormat="0" applyBorder="0" applyAlignment="0" applyProtection="0"/>
    <xf numFmtId="0" fontId="22" fillId="9" borderId="0" applyNumberFormat="0" applyBorder="0" applyAlignment="0" applyProtection="0"/>
    <xf numFmtId="0" fontId="26" fillId="0" borderId="36" applyNumberFormat="0" applyFill="0" applyAlignment="0" applyProtection="0"/>
    <xf numFmtId="0" fontId="80" fillId="74" borderId="0" applyNumberFormat="0" applyBorder="0" applyAlignment="0" applyProtection="0"/>
    <xf numFmtId="0" fontId="22" fillId="10" borderId="0" applyNumberFormat="0" applyBorder="0" applyAlignment="0" applyProtection="0"/>
    <xf numFmtId="181" fontId="21" fillId="19" borderId="0" applyNumberFormat="0" applyBorder="0" applyAlignment="0" applyProtection="0"/>
    <xf numFmtId="0" fontId="31" fillId="28" borderId="35" applyNumberFormat="0" applyAlignment="0" applyProtection="0"/>
    <xf numFmtId="181" fontId="21" fillId="22" borderId="0" applyNumberFormat="0" applyBorder="0" applyAlignment="0" applyProtection="0"/>
    <xf numFmtId="0" fontId="80" fillId="75" borderId="0" applyNumberFormat="0" applyBorder="0" applyAlignment="0" applyProtection="0"/>
    <xf numFmtId="0" fontId="21" fillId="75" borderId="0" applyNumberFormat="0" applyBorder="0" applyAlignment="0" applyProtection="0"/>
    <xf numFmtId="181" fontId="21" fillId="16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181" fontId="21" fillId="24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181" fontId="21" fillId="26" borderId="0" applyNumberFormat="0" applyBorder="0" applyAlignment="0" applyProtection="0"/>
    <xf numFmtId="0" fontId="21" fillId="15" borderId="0" applyNumberFormat="0" applyBorder="0" applyAlignment="0" applyProtection="0"/>
    <xf numFmtId="181" fontId="22" fillId="20" borderId="0" applyNumberFormat="0" applyBorder="0" applyAlignment="0" applyProtection="0"/>
    <xf numFmtId="0" fontId="21" fillId="74" borderId="0" applyNumberFormat="0" applyBorder="0" applyAlignment="0" applyProtection="0"/>
    <xf numFmtId="0" fontId="21" fillId="16" borderId="0" applyNumberFormat="0" applyBorder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181" fontId="9" fillId="20" borderId="34" applyNumberFormat="0" applyFont="0" applyAlignment="0" applyProtection="0"/>
    <xf numFmtId="181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1" fillId="19" borderId="0" applyNumberFormat="0" applyBorder="0" applyAlignment="0" applyProtection="0"/>
    <xf numFmtId="0" fontId="9" fillId="20" borderId="34" applyNumberFormat="0" applyFont="0" applyAlignment="0" applyProtection="0"/>
    <xf numFmtId="0" fontId="21" fillId="22" borderId="0" applyNumberFormat="0" applyBorder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21" fillId="16" borderId="0" applyNumberFormat="0" applyBorder="0" applyAlignment="0" applyProtection="0"/>
    <xf numFmtId="181" fontId="27" fillId="27" borderId="33" applyNumberFormat="0" applyAlignment="0" applyProtection="0"/>
    <xf numFmtId="181" fontId="27" fillId="27" borderId="33" applyNumberFormat="0" applyAlignment="0" applyProtection="0"/>
    <xf numFmtId="0" fontId="80" fillId="8" borderId="0" applyNumberFormat="0" applyBorder="0" applyAlignment="0" applyProtection="0"/>
    <xf numFmtId="0" fontId="21" fillId="24" borderId="0" applyNumberFormat="0" applyBorder="0" applyAlignment="0" applyProtection="0"/>
    <xf numFmtId="0" fontId="31" fillId="28" borderId="35" applyNumberFormat="0" applyAlignment="0" applyProtection="0"/>
    <xf numFmtId="0" fontId="27" fillId="27" borderId="33" applyNumberFormat="0" applyAlignment="0" applyProtection="0"/>
    <xf numFmtId="0" fontId="63" fillId="66" borderId="0" applyNumberFormat="0" applyBorder="0" applyAlignment="0" applyProtection="0"/>
    <xf numFmtId="189" fontId="9" fillId="0" borderId="0" applyFont="0" applyFill="0" applyBorder="0" applyAlignment="0" applyProtection="0"/>
    <xf numFmtId="0" fontId="24" fillId="28" borderId="33" applyNumberFormat="0" applyAlignment="0" applyProtection="0"/>
    <xf numFmtId="0" fontId="9" fillId="20" borderId="34" applyNumberFormat="0" applyFont="0" applyAlignment="0" applyProtection="0"/>
    <xf numFmtId="0" fontId="21" fillId="26" borderId="0" applyNumberFormat="0" applyBorder="0" applyAlignment="0" applyProtection="0"/>
    <xf numFmtId="0" fontId="9" fillId="20" borderId="34" applyNumberFormat="0" applyFont="0" applyAlignment="0" applyProtection="0"/>
    <xf numFmtId="0" fontId="21" fillId="74" borderId="0" applyNumberFormat="0" applyBorder="0" applyAlignment="0" applyProtection="0"/>
    <xf numFmtId="0" fontId="23" fillId="0" borderId="0" applyNumberFormat="0" applyFill="0" applyBorder="0" applyAlignment="0" applyProtection="0"/>
    <xf numFmtId="0" fontId="21" fillId="74" borderId="0" applyNumberFormat="0" applyBorder="0" applyAlignment="0" applyProtection="0"/>
    <xf numFmtId="0" fontId="63" fillId="67" borderId="0" applyNumberFormat="0" applyBorder="0" applyAlignment="0" applyProtection="0"/>
    <xf numFmtId="0" fontId="24" fillId="28" borderId="33" applyNumberFormat="0" applyAlignment="0" applyProtection="0"/>
    <xf numFmtId="181" fontId="21" fillId="19" borderId="0" applyNumberFormat="0" applyBorder="0" applyAlignment="0" applyProtection="0"/>
    <xf numFmtId="0" fontId="26" fillId="0" borderId="36" applyNumberFormat="0" applyFill="0" applyAlignment="0" applyProtection="0"/>
    <xf numFmtId="0" fontId="21" fillId="74" borderId="0" applyNumberFormat="0" applyBorder="0" applyAlignment="0" applyProtection="0"/>
    <xf numFmtId="0" fontId="22" fillId="21" borderId="0" applyNumberFormat="0" applyBorder="0" applyAlignment="0" applyProtection="0"/>
    <xf numFmtId="0" fontId="25" fillId="0" borderId="2" applyNumberFormat="0" applyFill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1" fillId="75" borderId="0" applyNumberFormat="0" applyBorder="0" applyAlignment="0" applyProtection="0"/>
    <xf numFmtId="0" fontId="80" fillId="75" borderId="0" applyNumberFormat="0" applyBorder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27" fillId="27" borderId="33" applyNumberFormat="0" applyAlignment="0" applyProtection="0"/>
    <xf numFmtId="0" fontId="80" fillId="75" borderId="0" applyNumberFormat="0" applyBorder="0" applyAlignment="0" applyProtection="0"/>
    <xf numFmtId="0" fontId="21" fillId="75" borderId="0" applyNumberFormat="0" applyBorder="0" applyAlignment="0" applyProtection="0"/>
    <xf numFmtId="186" fontId="9" fillId="0" borderId="0" applyFill="0" applyBorder="0" applyAlignment="0" applyProtection="0"/>
    <xf numFmtId="181" fontId="22" fillId="17" borderId="0" applyNumberFormat="0" applyBorder="0" applyAlignment="0" applyProtection="0"/>
    <xf numFmtId="0" fontId="22" fillId="17" borderId="0" applyNumberFormat="0" applyBorder="0" applyAlignment="0" applyProtection="0"/>
    <xf numFmtId="181" fontId="22" fillId="17" borderId="0" applyNumberFormat="0" applyBorder="0" applyAlignment="0" applyProtection="0"/>
    <xf numFmtId="0" fontId="28" fillId="32" borderId="0" applyNumberFormat="0" applyBorder="0" applyAlignment="0" applyProtection="0"/>
    <xf numFmtId="0" fontId="80" fillId="11" borderId="0" applyNumberFormat="0" applyBorder="0" applyAlignment="0" applyProtection="0"/>
    <xf numFmtId="185" fontId="9" fillId="0" borderId="0" applyFont="0" applyFill="0" applyBorder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9" fillId="33" borderId="0" applyNumberFormat="0" applyBorder="0" applyAlignment="0" applyProtection="0"/>
    <xf numFmtId="0" fontId="80" fillId="5" borderId="0" applyNumberFormat="0" applyBorder="0" applyAlignment="0" applyProtection="0"/>
    <xf numFmtId="0" fontId="21" fillId="5" borderId="0" applyNumberFormat="0" applyBorder="0" applyAlignment="0" applyProtection="0"/>
    <xf numFmtId="0" fontId="9" fillId="0" borderId="0"/>
    <xf numFmtId="0" fontId="21" fillId="16" borderId="0" applyNumberFormat="0" applyBorder="0" applyAlignment="0" applyProtection="0"/>
    <xf numFmtId="0" fontId="21" fillId="74" borderId="0" applyNumberFormat="0" applyBorder="0" applyAlignment="0" applyProtection="0"/>
    <xf numFmtId="181" fontId="21" fillId="16" borderId="0" applyNumberFormat="0" applyBorder="0" applyAlignment="0" applyProtection="0"/>
    <xf numFmtId="0" fontId="33" fillId="0" borderId="5" applyNumberFormat="0" applyFill="0" applyAlignment="0" applyProtection="0"/>
    <xf numFmtId="0" fontId="21" fillId="22" borderId="0" applyNumberFormat="0" applyBorder="0" applyAlignment="0" applyProtection="0"/>
    <xf numFmtId="9" fontId="9" fillId="0" borderId="0" applyFill="0" applyBorder="0" applyAlignment="0" applyProtection="0"/>
    <xf numFmtId="0" fontId="80" fillId="74" borderId="0" applyNumberFormat="0" applyBorder="0" applyAlignment="0" applyProtection="0"/>
    <xf numFmtId="0" fontId="53" fillId="0" borderId="0" applyNumberFormat="0" applyFill="0" applyBorder="0" applyAlignment="0" applyProtection="0"/>
    <xf numFmtId="9" fontId="9" fillId="0" borderId="0" applyFont="0" applyFill="0" applyBorder="0" applyAlignment="0" applyProtection="0"/>
    <xf numFmtId="181" fontId="22" fillId="17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30" fillId="23" borderId="0" applyNumberFormat="0" applyBorder="0" applyAlignment="0" applyProtection="0"/>
    <xf numFmtId="0" fontId="31" fillId="28" borderId="35" applyNumberFormat="0" applyAlignment="0" applyProtection="0"/>
    <xf numFmtId="0" fontId="63" fillId="67" borderId="0" applyNumberFormat="0" applyBorder="0" applyAlignment="0" applyProtection="0"/>
    <xf numFmtId="0" fontId="21" fillId="74" borderId="0" applyNumberFormat="0" applyBorder="0" applyAlignment="0" applyProtection="0"/>
    <xf numFmtId="0" fontId="53" fillId="0" borderId="0" applyNumberFormat="0" applyFill="0" applyBorder="0" applyAlignment="0" applyProtection="0"/>
    <xf numFmtId="44" fontId="8" fillId="0" borderId="0" applyFont="0" applyFill="0" applyBorder="0" applyAlignment="0" applyProtection="0"/>
    <xf numFmtId="0" fontId="21" fillId="16" borderId="0" applyNumberFormat="0" applyBorder="0" applyAlignment="0" applyProtection="0"/>
    <xf numFmtId="0" fontId="54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1" fontId="24" fillId="28" borderId="33" applyNumberFormat="0" applyAlignment="0" applyProtection="0"/>
    <xf numFmtId="0" fontId="24" fillId="28" borderId="33" applyNumberFormat="0" applyAlignment="0" applyProtection="0"/>
    <xf numFmtId="0" fontId="80" fillId="74" borderId="0" applyNumberFormat="0" applyBorder="0" applyAlignment="0" applyProtection="0"/>
    <xf numFmtId="0" fontId="33" fillId="0" borderId="5" applyNumberFormat="0" applyFill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34" fillId="0" borderId="6" applyNumberFormat="0" applyFill="0" applyAlignment="0" applyProtection="0"/>
    <xf numFmtId="0" fontId="9" fillId="20" borderId="34" applyNumberFormat="0" applyFont="0" applyAlignment="0" applyProtection="0"/>
    <xf numFmtId="0" fontId="35" fillId="0" borderId="7" applyNumberFormat="0" applyFill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0" fontId="35" fillId="0" borderId="0" applyNumberFormat="0" applyFill="0" applyBorder="0" applyAlignment="0" applyProtection="0"/>
    <xf numFmtId="0" fontId="80" fillId="72" borderId="0" applyNumberFormat="0" applyBorder="0" applyAlignment="0" applyProtection="0"/>
    <xf numFmtId="0" fontId="26" fillId="0" borderId="36" applyNumberFormat="0" applyFill="0" applyAlignment="0" applyProtection="0"/>
    <xf numFmtId="0" fontId="21" fillId="19" borderId="0" applyNumberFormat="0" applyBorder="0" applyAlignment="0" applyProtection="0"/>
    <xf numFmtId="9" fontId="22" fillId="0" borderId="0" applyFont="0" applyFill="0" applyBorder="0" applyAlignment="0" applyProtection="0"/>
    <xf numFmtId="0" fontId="36" fillId="22" borderId="9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167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9" fillId="20" borderId="34" applyNumberFormat="0" applyFont="0" applyAlignment="0" applyProtection="0"/>
    <xf numFmtId="0" fontId="80" fillId="72" borderId="0" applyNumberFormat="0" applyBorder="0" applyAlignment="0" applyProtection="0"/>
    <xf numFmtId="0" fontId="63" fillId="66" borderId="0" applyNumberFormat="0" applyBorder="0" applyAlignment="0" applyProtection="0"/>
    <xf numFmtId="0" fontId="80" fillId="72" borderId="0" applyNumberFormat="0" applyBorder="0" applyAlignment="0" applyProtection="0"/>
    <xf numFmtId="0" fontId="80" fillId="11" borderId="0" applyNumberFormat="0" applyBorder="0" applyAlignment="0" applyProtection="0"/>
    <xf numFmtId="181" fontId="27" fillId="27" borderId="33" applyNumberFormat="0" applyAlignment="0" applyProtection="0"/>
    <xf numFmtId="0" fontId="9" fillId="20" borderId="34" applyNumberFormat="0" applyFont="0" applyAlignment="0" applyProtection="0"/>
    <xf numFmtId="0" fontId="63" fillId="66" borderId="0" applyNumberFormat="0" applyBorder="0" applyAlignment="0" applyProtection="0"/>
    <xf numFmtId="169" fontId="9" fillId="0" borderId="0" applyFont="0" applyFill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14" borderId="0" applyNumberFormat="0" applyBorder="0" applyAlignment="0" applyProtection="0"/>
    <xf numFmtId="0" fontId="21" fillId="74" borderId="0" applyNumberFormat="0" applyBorder="0" applyAlignment="0" applyProtection="0"/>
    <xf numFmtId="0" fontId="80" fillId="14" borderId="0" applyNumberFormat="0" applyBorder="0" applyAlignment="0" applyProtection="0"/>
    <xf numFmtId="0" fontId="63" fillId="68" borderId="0" applyNumberFormat="0" applyBorder="0" applyAlignment="0" applyProtection="0"/>
    <xf numFmtId="9" fontId="8" fillId="0" borderId="0" applyFont="0" applyFill="0" applyBorder="0" applyAlignment="0" applyProtection="0"/>
    <xf numFmtId="0" fontId="21" fillId="16" borderId="0" applyNumberFormat="0" applyBorder="0" applyAlignment="0" applyProtection="0"/>
    <xf numFmtId="0" fontId="22" fillId="17" borderId="0" applyNumberFormat="0" applyBorder="0" applyAlignment="0" applyProtection="0"/>
    <xf numFmtId="0" fontId="21" fillId="74" borderId="0" applyNumberFormat="0" applyBorder="0" applyAlignment="0" applyProtection="0"/>
    <xf numFmtId="181" fontId="22" fillId="25" borderId="0" applyNumberFormat="0" applyBorder="0" applyAlignment="0" applyProtection="0"/>
    <xf numFmtId="181" fontId="22" fillId="25" borderId="0" applyNumberFormat="0" applyBorder="0" applyAlignment="0" applyProtection="0"/>
    <xf numFmtId="0" fontId="21" fillId="77" borderId="0" applyNumberFormat="0" applyBorder="0" applyAlignment="0" applyProtection="0"/>
    <xf numFmtId="0" fontId="21" fillId="11" borderId="0" applyNumberFormat="0" applyBorder="0" applyAlignment="0" applyProtection="0"/>
    <xf numFmtId="181" fontId="22" fillId="20" borderId="0" applyNumberFormat="0" applyBorder="0" applyAlignment="0" applyProtection="0"/>
    <xf numFmtId="181" fontId="22" fillId="17" borderId="0" applyNumberFormat="0" applyBorder="0" applyAlignment="0" applyProtection="0"/>
    <xf numFmtId="0" fontId="21" fillId="75" borderId="0" applyNumberFormat="0" applyBorder="0" applyAlignment="0" applyProtection="0"/>
    <xf numFmtId="0" fontId="63" fillId="66" borderId="0" applyNumberFormat="0" applyBorder="0" applyAlignment="0" applyProtection="0"/>
    <xf numFmtId="0" fontId="21" fillId="19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0" fontId="21" fillId="22" borderId="0" applyNumberFormat="0" applyBorder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9" fillId="20" borderId="34" applyNumberFormat="0" applyFont="0" applyAlignment="0" applyProtection="0"/>
    <xf numFmtId="0" fontId="21" fillId="26" borderId="0" applyNumberFormat="0" applyBorder="0" applyAlignment="0" applyProtection="0"/>
    <xf numFmtId="174" fontId="9" fillId="0" borderId="0" applyFont="0" applyFill="0" applyBorder="0" applyAlignment="0" applyProtection="0"/>
    <xf numFmtId="181" fontId="21" fillId="19" borderId="0" applyNumberFormat="0" applyBorder="0" applyAlignment="0" applyProtection="0"/>
    <xf numFmtId="181" fontId="22" fillId="20" borderId="0" applyNumberFormat="0" applyBorder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31" fillId="28" borderId="35" applyNumberFormat="0" applyAlignment="0" applyProtection="0"/>
    <xf numFmtId="0" fontId="21" fillId="74" borderId="0" applyNumberFormat="0" applyBorder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181" fontId="9" fillId="20" borderId="34" applyNumberFormat="0" applyFont="0" applyAlignment="0" applyProtection="0"/>
    <xf numFmtId="0" fontId="21" fillId="74" borderId="0" applyNumberFormat="0" applyBorder="0" applyAlignment="0" applyProtection="0"/>
    <xf numFmtId="0" fontId="26" fillId="0" borderId="36" applyNumberFormat="0" applyFill="0" applyAlignment="0" applyProtection="0"/>
    <xf numFmtId="0" fontId="22" fillId="72" borderId="0" applyNumberFormat="0" applyBorder="0" applyAlignment="0" applyProtection="0"/>
    <xf numFmtId="0" fontId="22" fillId="8" borderId="0" applyNumberFormat="0" applyBorder="0" applyAlignment="0" applyProtection="0"/>
    <xf numFmtId="0" fontId="9" fillId="20" borderId="34" applyNumberFormat="0" applyFont="0" applyAlignment="0" applyProtection="0"/>
    <xf numFmtId="0" fontId="22" fillId="72" borderId="0" applyNumberFormat="0" applyBorder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2" fillId="72" borderId="0" applyNumberFormat="0" applyBorder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1" fillId="24" borderId="0" applyNumberFormat="0" applyBorder="0" applyAlignment="0" applyProtection="0"/>
    <xf numFmtId="174" fontId="9" fillId="0" borderId="0" applyFont="0" applyFill="0" applyBorder="0" applyAlignment="0" applyProtection="0"/>
    <xf numFmtId="0" fontId="22" fillId="8" borderId="0" applyNumberFormat="0" applyBorder="0" applyAlignment="0" applyProtection="0"/>
    <xf numFmtId="0" fontId="21" fillId="16" borderId="0" applyNumberFormat="0" applyBorder="0" applyAlignment="0" applyProtection="0"/>
    <xf numFmtId="0" fontId="22" fillId="11" borderId="0" applyNumberFormat="0" applyBorder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21" fillId="75" borderId="0" applyNumberFormat="0" applyBorder="0" applyAlignment="0" applyProtection="0"/>
    <xf numFmtId="0" fontId="22" fillId="74" borderId="0" applyNumberFormat="0" applyBorder="0" applyAlignment="0" applyProtection="0"/>
    <xf numFmtId="0" fontId="21" fillId="24" borderId="0" applyNumberFormat="0" applyBorder="0" applyAlignment="0" applyProtection="0"/>
    <xf numFmtId="0" fontId="23" fillId="0" borderId="0" applyNumberFormat="0" applyFill="0" applyBorder="0" applyAlignment="0" applyProtection="0"/>
    <xf numFmtId="0" fontId="21" fillId="16" borderId="0" applyNumberFormat="0" applyBorder="0" applyAlignment="0" applyProtection="0"/>
    <xf numFmtId="0" fontId="63" fillId="69" borderId="0" applyNumberFormat="0" applyBorder="0" applyAlignment="0" applyProtection="0"/>
    <xf numFmtId="0" fontId="27" fillId="27" borderId="33" applyNumberFormat="0" applyAlignment="0" applyProtection="0"/>
    <xf numFmtId="0" fontId="21" fillId="16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0" fontId="21" fillId="5" borderId="0" applyNumberFormat="0" applyBorder="0" applyAlignment="0" applyProtection="0"/>
    <xf numFmtId="0" fontId="21" fillId="16" borderId="0" applyNumberFormat="0" applyBorder="0" applyAlignment="0" applyProtection="0"/>
    <xf numFmtId="0" fontId="29" fillId="33" borderId="0" applyNumberFormat="0" applyBorder="0" applyAlignment="0" applyProtection="0"/>
    <xf numFmtId="181" fontId="27" fillId="27" borderId="33" applyNumberFormat="0" applyAlignment="0" applyProtection="0"/>
    <xf numFmtId="0" fontId="21" fillId="72" borderId="0" applyNumberFormat="0" applyBorder="0" applyAlignment="0" applyProtection="0"/>
    <xf numFmtId="0" fontId="80" fillId="8" borderId="0" applyNumberFormat="0" applyBorder="0" applyAlignment="0" applyProtection="0"/>
    <xf numFmtId="164" fontId="22" fillId="0" borderId="0" applyFont="0" applyFill="0" applyBorder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0" fontId="9" fillId="20" borderId="34" applyNumberFormat="0" applyFont="0" applyAlignment="0" applyProtection="0"/>
    <xf numFmtId="0" fontId="63" fillId="67" borderId="0" applyNumberFormat="0" applyBorder="0" applyAlignment="0" applyProtection="0"/>
    <xf numFmtId="0" fontId="21" fillId="75" borderId="0" applyNumberFormat="0" applyBorder="0" applyAlignment="0" applyProtection="0"/>
    <xf numFmtId="0" fontId="21" fillId="16" borderId="0" applyNumberFormat="0" applyBorder="0" applyAlignment="0" applyProtection="0"/>
    <xf numFmtId="181" fontId="9" fillId="20" borderId="34" applyNumberFormat="0" applyFont="0" applyAlignment="0" applyProtection="0"/>
    <xf numFmtId="181" fontId="9" fillId="20" borderId="34" applyNumberFormat="0" applyFont="0" applyAlignment="0" applyProtection="0"/>
    <xf numFmtId="181" fontId="21" fillId="16" borderId="0" applyNumberFormat="0" applyBorder="0" applyAlignment="0" applyProtection="0"/>
    <xf numFmtId="0" fontId="27" fillId="27" borderId="33" applyNumberFormat="0" applyAlignment="0" applyProtection="0"/>
    <xf numFmtId="0" fontId="80" fillId="72" borderId="0" applyNumberFormat="0" applyBorder="0" applyAlignment="0" applyProtection="0"/>
    <xf numFmtId="0" fontId="23" fillId="0" borderId="0" applyNumberFormat="0" applyFill="0" applyBorder="0" applyAlignment="0" applyProtection="0"/>
    <xf numFmtId="0" fontId="80" fillId="74" borderId="0" applyNumberFormat="0" applyBorder="0" applyAlignment="0" applyProtection="0"/>
    <xf numFmtId="186" fontId="9" fillId="0" borderId="0" applyFill="0" applyBorder="0" applyAlignment="0" applyProtection="0"/>
    <xf numFmtId="0" fontId="21" fillId="11" borderId="0" applyNumberFormat="0" applyBorder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2" fillId="11" borderId="0" applyNumberFormat="0" applyBorder="0" applyAlignment="0" applyProtection="0"/>
    <xf numFmtId="0" fontId="21" fillId="16" borderId="0" applyNumberFormat="0" applyBorder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0" fontId="80" fillId="73" borderId="0" applyNumberFormat="0" applyBorder="0" applyAlignment="0" applyProtection="0"/>
    <xf numFmtId="0" fontId="9" fillId="20" borderId="34" applyNumberFormat="0" applyFont="0" applyAlignment="0" applyProtection="0"/>
    <xf numFmtId="0" fontId="22" fillId="73" borderId="0" applyNumberFormat="0" applyBorder="0" applyAlignment="0" applyProtection="0"/>
    <xf numFmtId="0" fontId="21" fillId="22" borderId="0" applyNumberFormat="0" applyBorder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0" fontId="31" fillId="28" borderId="35" applyNumberFormat="0" applyAlignment="0" applyProtection="0"/>
    <xf numFmtId="0" fontId="21" fillId="74" borderId="0" applyNumberFormat="0" applyBorder="0" applyAlignment="0" applyProtection="0"/>
    <xf numFmtId="0" fontId="63" fillId="68" borderId="0" applyNumberFormat="0" applyBorder="0" applyAlignment="0" applyProtection="0"/>
    <xf numFmtId="0" fontId="63" fillId="68" borderId="0" applyNumberFormat="0" applyBorder="0" applyAlignment="0" applyProtection="0"/>
    <xf numFmtId="0" fontId="21" fillId="74" borderId="0" applyNumberFormat="0" applyBorder="0" applyAlignment="0" applyProtection="0"/>
    <xf numFmtId="0" fontId="80" fillId="74" borderId="0" applyNumberFormat="0" applyBorder="0" applyAlignment="0" applyProtection="0"/>
    <xf numFmtId="0" fontId="80" fillId="74" borderId="0" applyNumberFormat="0" applyBorder="0" applyAlignment="0" applyProtection="0"/>
    <xf numFmtId="0" fontId="21" fillId="74" borderId="0" applyNumberFormat="0" applyBorder="0" applyAlignment="0" applyProtection="0"/>
    <xf numFmtId="9" fontId="9" fillId="0" borderId="0" applyFill="0" applyBorder="0" applyAlignment="0" applyProtection="0"/>
    <xf numFmtId="0" fontId="21" fillId="74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0" fillId="74" borderId="0" applyNumberFormat="0" applyBorder="0" applyAlignment="0" applyProtection="0"/>
    <xf numFmtId="9" fontId="9" fillId="0" borderId="0" applyFont="0" applyFill="0" applyBorder="0" applyAlignment="0" applyProtection="0"/>
    <xf numFmtId="0" fontId="21" fillId="74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16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9" fillId="0" borderId="0"/>
    <xf numFmtId="0" fontId="21" fillId="77" borderId="0" applyNumberFormat="0" applyBorder="0" applyAlignment="0" applyProtection="0"/>
    <xf numFmtId="0" fontId="63" fillId="69" borderId="0" applyNumberFormat="0" applyBorder="0" applyAlignment="0" applyProtection="0"/>
    <xf numFmtId="0" fontId="63" fillId="69" borderId="0" applyNumberFormat="0" applyBorder="0" applyAlignment="0" applyProtection="0"/>
    <xf numFmtId="0" fontId="21" fillId="77" borderId="0" applyNumberFormat="0" applyBorder="0" applyAlignment="0" applyProtection="0"/>
    <xf numFmtId="0" fontId="80" fillId="77" borderId="0" applyNumberFormat="0" applyBorder="0" applyAlignment="0" applyProtection="0"/>
    <xf numFmtId="0" fontId="80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9" fillId="0" borderId="0"/>
    <xf numFmtId="0" fontId="80" fillId="77" borderId="0" applyNumberFormat="0" applyBorder="0" applyAlignment="0" applyProtection="0"/>
    <xf numFmtId="0" fontId="21" fillId="77" borderId="0" applyNumberFormat="0" applyBorder="0" applyAlignment="0" applyProtection="0"/>
    <xf numFmtId="0" fontId="9" fillId="0" borderId="0"/>
    <xf numFmtId="0" fontId="9" fillId="0" borderId="0"/>
    <xf numFmtId="0" fontId="21" fillId="24" borderId="0" applyNumberFormat="0" applyBorder="0" applyAlignment="0" applyProtection="0"/>
    <xf numFmtId="0" fontId="9" fillId="0" borderId="0"/>
    <xf numFmtId="0" fontId="8" fillId="0" borderId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2" fillId="72" borderId="0" applyNumberFormat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2" borderId="0" applyNumberFormat="0" applyBorder="0" applyAlignment="0" applyProtection="0"/>
    <xf numFmtId="0" fontId="21" fillId="14" borderId="0" applyNumberFormat="0" applyBorder="0" applyAlignment="0" applyProtection="0"/>
    <xf numFmtId="0" fontId="63" fillId="70" borderId="0" applyNumberFormat="0" applyBorder="0" applyAlignment="0" applyProtection="0"/>
    <xf numFmtId="0" fontId="63" fillId="70" borderId="0" applyNumberFormat="0" applyBorder="0" applyAlignment="0" applyProtection="0"/>
    <xf numFmtId="171" fontId="9" fillId="0" borderId="0" applyFont="0" applyFill="0" applyBorder="0" applyAlignment="0" applyProtection="0"/>
    <xf numFmtId="0" fontId="21" fillId="14" borderId="0" applyNumberFormat="0" applyBorder="0" applyAlignment="0" applyProtection="0"/>
    <xf numFmtId="185" fontId="9" fillId="0" borderId="0" applyFont="0" applyFill="0" applyBorder="0" applyAlignment="0" applyProtection="0"/>
    <xf numFmtId="0" fontId="80" fillId="14" borderId="0" applyNumberFormat="0" applyBorder="0" applyAlignment="0" applyProtection="0"/>
    <xf numFmtId="0" fontId="80" fillId="14" borderId="0" applyNumberFormat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67" fontId="9" fillId="0" borderId="0" applyFont="0" applyFill="0" applyBorder="0" applyAlignment="0" applyProtection="0"/>
    <xf numFmtId="0" fontId="80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26" borderId="0" applyNumberFormat="0" applyBorder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21" fillId="26" borderId="0" applyNumberFormat="0" applyBorder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1" fillId="22" borderId="0" applyNumberFormat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1" fillId="78" borderId="0" applyNumberFormat="0" applyBorder="0" applyAlignment="0" applyProtection="0"/>
    <xf numFmtId="0" fontId="9" fillId="20" borderId="34" applyNumberFormat="0" applyFont="0" applyAlignment="0" applyProtection="0"/>
    <xf numFmtId="0" fontId="21" fillId="78" borderId="0" applyNumberFormat="0" applyBorder="0" applyAlignment="0" applyProtection="0"/>
    <xf numFmtId="0" fontId="9" fillId="20" borderId="34" applyNumberFormat="0" applyFont="0" applyAlignment="0" applyProtection="0"/>
    <xf numFmtId="0" fontId="21" fillId="78" borderId="0" applyNumberFormat="0" applyBorder="0" applyAlignment="0" applyProtection="0"/>
    <xf numFmtId="0" fontId="9" fillId="20" borderId="34" applyNumberFormat="0" applyFont="0" applyAlignment="0" applyProtection="0"/>
    <xf numFmtId="0" fontId="30" fillId="23" borderId="0" applyNumberFormat="0" applyBorder="0" applyAlignment="0" applyProtection="0"/>
    <xf numFmtId="0" fontId="21" fillId="78" borderId="0" applyNumberFormat="0" applyBorder="0" applyAlignment="0" applyProtection="0"/>
    <xf numFmtId="0" fontId="63" fillId="71" borderId="0" applyNumberFormat="0" applyBorder="0" applyAlignment="0" applyProtection="0"/>
    <xf numFmtId="0" fontId="63" fillId="71" borderId="0" applyNumberFormat="0" applyBorder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1" fillId="78" borderId="0" applyNumberFormat="0" applyBorder="0" applyAlignment="0" applyProtection="0"/>
    <xf numFmtId="181" fontId="24" fillId="28" borderId="33" applyNumberFormat="0" applyAlignment="0" applyProtection="0"/>
    <xf numFmtId="0" fontId="24" fillId="28" borderId="33" applyNumberFormat="0" applyAlignment="0" applyProtection="0"/>
    <xf numFmtId="0" fontId="80" fillId="78" borderId="0" applyNumberFormat="0" applyBorder="0" applyAlignment="0" applyProtection="0"/>
    <xf numFmtId="0" fontId="80" fillId="78" borderId="0" applyNumberFormat="0" applyBorder="0" applyAlignment="0" applyProtection="0"/>
    <xf numFmtId="0" fontId="24" fillId="28" borderId="33" applyNumberFormat="0" applyAlignment="0" applyProtection="0"/>
    <xf numFmtId="0" fontId="21" fillId="78" borderId="0" applyNumberFormat="0" applyBorder="0" applyAlignment="0" applyProtection="0"/>
    <xf numFmtId="0" fontId="8" fillId="0" borderId="0"/>
    <xf numFmtId="0" fontId="21" fillId="78" borderId="0" applyNumberFormat="0" applyBorder="0" applyAlignment="0" applyProtection="0"/>
    <xf numFmtId="0" fontId="80" fillId="78" borderId="0" applyNumberFormat="0" applyBorder="0" applyAlignment="0" applyProtection="0"/>
    <xf numFmtId="0" fontId="21" fillId="78" borderId="0" applyNumberFormat="0" applyBorder="0" applyAlignment="0" applyProtection="0"/>
    <xf numFmtId="169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1" fillId="26" borderId="0" applyNumberFormat="0" applyBorder="0" applyAlignment="0" applyProtection="0"/>
    <xf numFmtId="0" fontId="25" fillId="0" borderId="2" applyNumberFormat="0" applyFill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4" fillId="28" borderId="33" applyNumberFormat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27" fillId="27" borderId="33" applyNumberFormat="0" applyAlignment="0" applyProtection="0"/>
    <xf numFmtId="0" fontId="29" fillId="0" borderId="0" applyNumberFormat="0" applyFill="0" applyBorder="0" applyAlignment="0" applyProtection="0"/>
    <xf numFmtId="181" fontId="9" fillId="20" borderId="34" applyNumberFormat="0" applyFont="0" applyAlignment="0" applyProtection="0"/>
    <xf numFmtId="0" fontId="29" fillId="0" borderId="0" applyNumberFormat="0" applyFill="0" applyBorder="0" applyAlignment="0" applyProtection="0"/>
    <xf numFmtId="0" fontId="9" fillId="20" borderId="34" applyNumberFormat="0" applyFont="0" applyAlignment="0" applyProtection="0"/>
    <xf numFmtId="0" fontId="29" fillId="0" borderId="0" applyNumberFormat="0" applyFill="0" applyBorder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9" fillId="0" borderId="0" applyNumberFormat="0" applyFill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76" fontId="9" fillId="0" borderId="0" applyFont="0" applyFill="0" applyBorder="0" applyAlignment="0" applyProtection="0"/>
    <xf numFmtId="0" fontId="80" fillId="0" borderId="0" applyNumberFormat="0" applyFill="0" applyBorder="0" applyAlignment="0" applyProtection="0"/>
    <xf numFmtId="181" fontId="21" fillId="16" borderId="0" applyNumberFormat="0" applyBorder="0" applyAlignment="0" applyProtection="0"/>
    <xf numFmtId="0" fontId="29" fillId="0" borderId="0" applyNumberFormat="0" applyFill="0" applyBorder="0" applyAlignment="0" applyProtection="0"/>
    <xf numFmtId="181" fontId="24" fillId="28" borderId="33" applyNumberFormat="0" applyAlignment="0" applyProtection="0"/>
    <xf numFmtId="0" fontId="29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72" fillId="63" borderId="27" applyNumberFormat="0" applyAlignment="0" applyProtection="0"/>
    <xf numFmtId="0" fontId="24" fillId="28" borderId="33" applyNumberFormat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21" fillId="74" borderId="0" applyNumberFormat="0" applyBorder="0" applyAlignment="0" applyProtection="0"/>
    <xf numFmtId="181" fontId="21" fillId="19" borderId="0" applyNumberFormat="0" applyBorder="0" applyAlignment="0" applyProtection="0"/>
    <xf numFmtId="0" fontId="78" fillId="0" borderId="2" applyNumberFormat="0" applyFill="0" applyAlignment="0" applyProtection="0"/>
    <xf numFmtId="181" fontId="21" fillId="19" borderId="0" applyNumberFormat="0" applyBorder="0" applyAlignment="0" applyProtection="0"/>
    <xf numFmtId="0" fontId="80" fillId="0" borderId="2" applyNumberFormat="0" applyFill="0" applyAlignment="0" applyProtection="0"/>
    <xf numFmtId="0" fontId="22" fillId="27" borderId="0" applyNumberFormat="0" applyBorder="0" applyAlignment="0" applyProtection="0"/>
    <xf numFmtId="0" fontId="78" fillId="0" borderId="2" applyNumberFormat="0" applyFill="0" applyAlignment="0" applyProtection="0"/>
    <xf numFmtId="0" fontId="21" fillId="76" borderId="0" applyNumberFormat="0" applyBorder="0" applyAlignment="0" applyProtection="0"/>
    <xf numFmtId="0" fontId="78" fillId="0" borderId="2" applyNumberFormat="0" applyFill="0" applyAlignment="0" applyProtection="0"/>
    <xf numFmtId="0" fontId="73" fillId="0" borderId="29" applyNumberFormat="0" applyFill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22" fillId="65" borderId="31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0" borderId="0"/>
    <xf numFmtId="181" fontId="21" fillId="22" borderId="0" applyNumberFormat="0" applyBorder="0" applyAlignment="0" applyProtection="0"/>
    <xf numFmtId="0" fontId="63" fillId="68" borderId="0" applyNumberFormat="0" applyBorder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70" fillId="62" borderId="27" applyNumberFormat="0" applyAlignment="0" applyProtection="0"/>
    <xf numFmtId="0" fontId="63" fillId="69" borderId="0" applyNumberFormat="0" applyBorder="0" applyAlignment="0" applyProtection="0"/>
    <xf numFmtId="0" fontId="31" fillId="28" borderId="35" applyNumberFormat="0" applyAlignment="0" applyProtection="0"/>
    <xf numFmtId="187" fontId="80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187" fontId="80" fillId="0" borderId="0" applyFont="0" applyFill="0" applyBorder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22" fillId="17" borderId="0" applyNumberFormat="0" applyBorder="0" applyAlignment="0" applyProtection="0"/>
    <xf numFmtId="187" fontId="80" fillId="0" borderId="0" applyFont="0" applyFill="0" applyBorder="0" applyAlignment="0" applyProtection="0"/>
    <xf numFmtId="181" fontId="22" fillId="17" borderId="0" applyNumberFormat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181" fontId="22" fillId="21" borderId="0" applyNumberFormat="0" applyBorder="0" applyAlignment="0" applyProtection="0"/>
    <xf numFmtId="181" fontId="22" fillId="2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80" fillId="80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0" fontId="68" fillId="60" borderId="0" applyNumberFormat="0" applyBorder="0" applyAlignment="0" applyProtection="0"/>
    <xf numFmtId="177" fontId="9" fillId="0" borderId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100" borderId="34" applyNumberFormat="0" applyAlignment="0" applyProtection="0"/>
    <xf numFmtId="164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7" fillId="90" borderId="33" applyNumberFormat="0" applyAlignment="0" applyProtection="0"/>
    <xf numFmtId="167" fontId="9" fillId="0" borderId="0" applyFont="0" applyFill="0" applyBorder="0" applyAlignment="0" applyProtection="0"/>
    <xf numFmtId="0" fontId="26" fillId="0" borderId="36" applyNumberFormat="0" applyFill="0" applyAlignment="0" applyProtection="0"/>
    <xf numFmtId="0" fontId="31" fillId="28" borderId="35" applyNumberFormat="0" applyAlignment="0" applyProtection="0"/>
    <xf numFmtId="0" fontId="31" fillId="103" borderId="35" applyNumberFormat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0" fontId="9" fillId="0" borderId="0"/>
    <xf numFmtId="0" fontId="9" fillId="0" borderId="0"/>
    <xf numFmtId="167" fontId="9" fillId="0" borderId="0" applyFont="0" applyFill="0" applyBorder="0" applyAlignment="0" applyProtection="0"/>
    <xf numFmtId="0" fontId="26" fillId="0" borderId="36" applyNumberFormat="0" applyFill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1" fillId="16" borderId="0" applyNumberFormat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31" fillId="28" borderId="35" applyNumberFormat="0" applyAlignment="0" applyProtection="0"/>
    <xf numFmtId="167" fontId="15" fillId="0" borderId="0" applyFont="0" applyFill="0" applyBorder="0" applyAlignment="0" applyProtection="0"/>
    <xf numFmtId="16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6" fontId="9" fillId="0" borderId="0" applyFill="0" applyBorder="0" applyAlignment="0" applyProtection="0"/>
    <xf numFmtId="167" fontId="9" fillId="0" borderId="0" applyFont="0" applyFill="0" applyBorder="0" applyAlignment="0" applyProtection="0"/>
    <xf numFmtId="0" fontId="27" fillId="27" borderId="33" applyNumberFormat="0" applyAlignment="0" applyProtection="0"/>
    <xf numFmtId="0" fontId="27" fillId="90" borderId="33" applyNumberFormat="0" applyAlignment="0" applyProtection="0"/>
    <xf numFmtId="0" fontId="9" fillId="20" borderId="34" applyNumberFormat="0" applyFont="0" applyAlignment="0" applyProtection="0"/>
    <xf numFmtId="0" fontId="9" fillId="100" borderId="34" applyNumberFormat="0" applyAlignment="0" applyProtection="0"/>
    <xf numFmtId="0" fontId="24" fillId="28" borderId="33" applyNumberFormat="0" applyAlignment="0" applyProtection="0"/>
    <xf numFmtId="0" fontId="24" fillId="103" borderId="33" applyNumberFormat="0" applyAlignment="0" applyProtection="0"/>
    <xf numFmtId="0" fontId="28" fillId="32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21" fillId="26" borderId="0" applyNumberFormat="0" applyBorder="0" applyAlignment="0" applyProtection="0"/>
    <xf numFmtId="0" fontId="83" fillId="81" borderId="0" applyNumberFormat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80" fillId="8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69" fillId="61" borderId="0" applyNumberFormat="0" applyBorder="0" applyAlignment="0" applyProtection="0"/>
    <xf numFmtId="181" fontId="22" fillId="21" borderId="0" applyNumberFormat="0" applyBorder="0" applyAlignment="0" applyProtection="0"/>
    <xf numFmtId="0" fontId="9" fillId="20" borderId="34" applyNumberFormat="0" applyFont="0" applyAlignment="0" applyProtection="0"/>
    <xf numFmtId="0" fontId="21" fillId="96" borderId="0" applyNumberFormat="0" applyBorder="0" applyAlignment="0" applyProtection="0"/>
    <xf numFmtId="0" fontId="21" fillId="95" borderId="0" applyNumberFormat="0" applyBorder="0" applyAlignment="0" applyProtection="0"/>
    <xf numFmtId="0" fontId="21" fillId="92" borderId="0" applyNumberFormat="0" applyBorder="0" applyAlignment="0" applyProtection="0"/>
    <xf numFmtId="0" fontId="21" fillId="91" borderId="0" applyNumberFormat="0" applyBorder="0" applyAlignment="0" applyProtection="0"/>
    <xf numFmtId="0" fontId="21" fillId="94" borderId="0" applyNumberFormat="0" applyBorder="0" applyAlignment="0" applyProtection="0"/>
    <xf numFmtId="0" fontId="9" fillId="0" borderId="0"/>
    <xf numFmtId="181" fontId="9" fillId="0" borderId="0"/>
    <xf numFmtId="0" fontId="22" fillId="93" borderId="0" applyNumberFormat="0" applyBorder="0" applyAlignment="0" applyProtection="0"/>
    <xf numFmtId="0" fontId="9" fillId="0" borderId="0"/>
    <xf numFmtId="0" fontId="22" fillId="84" borderId="0" applyNumberFormat="0" applyBorder="0" applyAlignment="0" applyProtection="0"/>
    <xf numFmtId="0" fontId="22" fillId="88" borderId="0" applyNumberFormat="0" applyBorder="0" applyAlignment="0" applyProtection="0"/>
    <xf numFmtId="0" fontId="22" fillId="92" borderId="0" applyNumberFormat="0" applyBorder="0" applyAlignment="0" applyProtection="0"/>
    <xf numFmtId="0" fontId="22" fillId="91" borderId="0" applyNumberFormat="0" applyBorder="0" applyAlignment="0" applyProtection="0"/>
    <xf numFmtId="0" fontId="22" fillId="84" borderId="0" applyNumberFormat="0" applyBorder="0" applyAlignment="0" applyProtection="0"/>
    <xf numFmtId="0" fontId="22" fillId="90" borderId="0" applyNumberFormat="0" applyBorder="0" applyAlignment="0" applyProtection="0"/>
    <xf numFmtId="0" fontId="22" fillId="89" borderId="0" applyNumberFormat="0" applyBorder="0" applyAlignment="0" applyProtection="0"/>
    <xf numFmtId="0" fontId="9" fillId="0" borderId="0"/>
    <xf numFmtId="0" fontId="26" fillId="0" borderId="36" applyNumberFormat="0" applyFill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9" fillId="0" borderId="0"/>
    <xf numFmtId="9" fontId="8" fillId="0" borderId="0" applyFont="0" applyFill="0" applyBorder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2" fillId="6" borderId="0" applyNumberFormat="0" applyBorder="0" applyAlignment="0" applyProtection="0"/>
    <xf numFmtId="0" fontId="22" fillId="9" borderId="0" applyNumberFormat="0" applyBorder="0" applyAlignment="0" applyProtection="0"/>
    <xf numFmtId="9" fontId="9" fillId="0" borderId="0" applyFont="0" applyFill="0" applyBorder="0" applyAlignment="0" applyProtection="0"/>
    <xf numFmtId="0" fontId="21" fillId="10" borderId="0" applyNumberFormat="0" applyBorder="0" applyAlignment="0" applyProtection="0"/>
    <xf numFmtId="0" fontId="21" fillId="15" borderId="0" applyNumberFormat="0" applyBorder="0" applyAlignment="0" applyProtection="0"/>
    <xf numFmtId="0" fontId="22" fillId="8" borderId="0" applyNumberFormat="0" applyBorder="0" applyAlignment="0" applyProtection="0"/>
    <xf numFmtId="181" fontId="31" fillId="28" borderId="35" applyNumberFormat="0" applyAlignment="0" applyProtection="0"/>
    <xf numFmtId="0" fontId="30" fillId="4" borderId="0" applyNumberFormat="0" applyBorder="0" applyAlignment="0" applyProtection="0"/>
    <xf numFmtId="9" fontId="9" fillId="0" borderId="0" applyFill="0" applyBorder="0" applyAlignment="0" applyProtection="0"/>
    <xf numFmtId="0" fontId="30" fillId="4" borderId="0" applyNumberFormat="0" applyBorder="0" applyAlignment="0" applyProtection="0"/>
    <xf numFmtId="0" fontId="21" fillId="16" borderId="0" applyNumberFormat="0" applyBorder="0" applyAlignment="0" applyProtection="0"/>
    <xf numFmtId="0" fontId="30" fillId="4" borderId="0" applyNumberFormat="0" applyBorder="0" applyAlignment="0" applyProtection="0"/>
    <xf numFmtId="9" fontId="8" fillId="0" borderId="0" applyFont="0" applyFill="0" applyBorder="0" applyAlignment="0" applyProtection="0"/>
    <xf numFmtId="176" fontId="9" fillId="0" borderId="0" applyFont="0" applyFill="0" applyBorder="0" applyAlignment="0" applyProtection="0"/>
    <xf numFmtId="0" fontId="30" fillId="4" borderId="0" applyNumberFormat="0" applyBorder="0" applyAlignment="0" applyProtection="0"/>
    <xf numFmtId="0" fontId="27" fillId="27" borderId="33" applyNumberFormat="0" applyAlignment="0" applyProtection="0"/>
    <xf numFmtId="0" fontId="80" fillId="4" borderId="0" applyNumberFormat="0" applyBorder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30" fillId="4" borderId="0" applyNumberFormat="0" applyBorder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30" fillId="4" borderId="0" applyNumberFormat="0" applyBorder="0" applyAlignment="0" applyProtection="0"/>
    <xf numFmtId="0" fontId="67" fillId="59" borderId="0" applyNumberFormat="0" applyBorder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71" fillId="63" borderId="28" applyNumberForma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84" fillId="0" borderId="0" applyNumberFormat="0" applyFill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80" fillId="0" borderId="0" applyNumberFormat="0" applyFill="0" applyBorder="0" applyAlignment="0" applyProtection="0"/>
    <xf numFmtId="0" fontId="21" fillId="22" borderId="0" applyNumberFormat="0" applyBorder="0" applyAlignment="0" applyProtection="0"/>
    <xf numFmtId="0" fontId="54" fillId="0" borderId="0" applyNumberFormat="0" applyFill="0" applyBorder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3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5" fillId="0" borderId="2" applyNumberFormat="0" applyFill="0" applyAlignment="0" applyProtection="0"/>
    <xf numFmtId="0" fontId="27" fillId="27" borderId="33" applyNumberFormat="0" applyAlignment="0" applyProtection="0"/>
    <xf numFmtId="0" fontId="33" fillId="0" borderId="38" applyNumberFormat="0" applyFill="0" applyAlignment="0" applyProtection="0"/>
    <xf numFmtId="0" fontId="21" fillId="75" borderId="0" applyNumberFormat="0" applyBorder="0" applyAlignment="0" applyProtection="0"/>
    <xf numFmtId="0" fontId="33" fillId="0" borderId="38" applyNumberFormat="0" applyFill="0" applyAlignment="0" applyProtection="0"/>
    <xf numFmtId="0" fontId="9" fillId="20" borderId="34" applyNumberFormat="0" applyFont="0" applyAlignment="0" applyProtection="0"/>
    <xf numFmtId="0" fontId="33" fillId="0" borderId="38" applyNumberFormat="0" applyFill="0" applyAlignment="0" applyProtection="0"/>
    <xf numFmtId="0" fontId="9" fillId="20" borderId="34" applyNumberFormat="0" applyFont="0" applyAlignment="0" applyProtection="0"/>
    <xf numFmtId="0" fontId="21" fillId="24" borderId="0" applyNumberFormat="0" applyBorder="0" applyAlignment="0" applyProtection="0"/>
    <xf numFmtId="0" fontId="28" fillId="32" borderId="0" applyNumberFormat="0" applyBorder="0" applyAlignment="0" applyProtection="0"/>
    <xf numFmtId="0" fontId="33" fillId="0" borderId="38" applyNumberFormat="0" applyFill="0" applyAlignment="0" applyProtection="0"/>
    <xf numFmtId="0" fontId="63" fillId="67" borderId="0" applyNumberFormat="0" applyBorder="0" applyAlignment="0" applyProtection="0"/>
    <xf numFmtId="0" fontId="29" fillId="33" borderId="0" applyNumberFormat="0" applyBorder="0" applyAlignment="0" applyProtection="0"/>
    <xf numFmtId="0" fontId="63" fillId="68" borderId="0" applyNumberFormat="0" applyBorder="0" applyAlignment="0" applyProtection="0"/>
    <xf numFmtId="0" fontId="80" fillId="0" borderId="38" applyNumberFormat="0" applyFill="0" applyAlignment="0" applyProtection="0"/>
    <xf numFmtId="0" fontId="33" fillId="0" borderId="38" applyNumberFormat="0" applyFill="0" applyAlignment="0" applyProtection="0"/>
    <xf numFmtId="0" fontId="21" fillId="16" borderId="0" applyNumberFormat="0" applyBorder="0" applyAlignment="0" applyProtection="0"/>
    <xf numFmtId="181" fontId="21" fillId="22" borderId="0" applyNumberFormat="0" applyBorder="0" applyAlignment="0" applyProtection="0"/>
    <xf numFmtId="0" fontId="33" fillId="0" borderId="38" applyNumberFormat="0" applyFill="0" applyAlignment="0" applyProtection="0"/>
    <xf numFmtId="0" fontId="64" fillId="0" borderId="24" applyNumberFormat="0" applyFill="0" applyAlignment="0" applyProtection="0"/>
    <xf numFmtId="0" fontId="5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21" fillId="22" borderId="0" applyNumberFormat="0" applyBorder="0" applyAlignment="0" applyProtection="0"/>
    <xf numFmtId="0" fontId="34" fillId="0" borderId="39" applyNumberFormat="0" applyFill="0" applyAlignment="0" applyProtection="0"/>
    <xf numFmtId="0" fontId="80" fillId="0" borderId="39" applyNumberFormat="0" applyFill="0" applyAlignment="0" applyProtection="0"/>
    <xf numFmtId="0" fontId="21" fillId="19" borderId="0" applyNumberFormat="0" applyBorder="0" applyAlignment="0" applyProtection="0"/>
    <xf numFmtId="0" fontId="34" fillId="0" borderId="39" applyNumberFormat="0" applyFill="0" applyAlignment="0" applyProtection="0"/>
    <xf numFmtId="181" fontId="22" fillId="17" borderId="0" applyNumberFormat="0" applyBorder="0" applyAlignment="0" applyProtection="0"/>
    <xf numFmtId="0" fontId="34" fillId="0" borderId="39" applyNumberFormat="0" applyFill="0" applyAlignment="0" applyProtection="0"/>
    <xf numFmtId="0" fontId="65" fillId="0" borderId="25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21" fillId="16" borderId="0" applyNumberFormat="0" applyBorder="0" applyAlignment="0" applyProtection="0"/>
    <xf numFmtId="0" fontId="35" fillId="0" borderId="40" applyNumberFormat="0" applyFill="0" applyAlignment="0" applyProtection="0"/>
    <xf numFmtId="0" fontId="80" fillId="0" borderId="40" applyNumberFormat="0" applyFill="0" applyAlignment="0" applyProtection="0"/>
    <xf numFmtId="0" fontId="35" fillId="0" borderId="40" applyNumberFormat="0" applyFill="0" applyAlignment="0" applyProtection="0"/>
    <xf numFmtId="0" fontId="35" fillId="0" borderId="40" applyNumberFormat="0" applyFill="0" applyAlignment="0" applyProtection="0"/>
    <xf numFmtId="0" fontId="66" fillId="0" borderId="26" applyNumberFormat="0" applyFill="0" applyAlignment="0" applyProtection="0"/>
    <xf numFmtId="0" fontId="35" fillId="0" borderId="0" applyNumberFormat="0" applyFill="0" applyBorder="0" applyAlignment="0" applyProtection="0"/>
    <xf numFmtId="0" fontId="21" fillId="16" borderId="0" applyNumberFormat="0" applyBorder="0" applyAlignment="0" applyProtection="0"/>
    <xf numFmtId="0" fontId="27" fillId="27" borderId="33" applyNumberFormat="0" applyAlignment="0" applyProtection="0"/>
    <xf numFmtId="0" fontId="31" fillId="28" borderId="35" applyNumberFormat="0" applyAlignment="0" applyProtection="0"/>
    <xf numFmtId="0" fontId="21" fillId="16" borderId="0" applyNumberFormat="0" applyBorder="0" applyAlignment="0" applyProtection="0"/>
    <xf numFmtId="0" fontId="66" fillId="0" borderId="0" applyNumberFormat="0" applyFill="0" applyBorder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59" fillId="0" borderId="32" applyNumberFormat="0" applyFill="0" applyAlignment="0" applyProtection="0"/>
    <xf numFmtId="0" fontId="36" fillId="82" borderId="9" applyNumberFormat="0" applyAlignment="0" applyProtection="0"/>
    <xf numFmtId="0" fontId="22" fillId="3" borderId="0" applyNumberFormat="0" applyBorder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80" fillId="82" borderId="9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0" fontId="74" fillId="64" borderId="30" applyNumberFormat="0" applyAlignment="0" applyProtection="0"/>
    <xf numFmtId="0" fontId="24" fillId="103" borderId="33" applyNumberFormat="0" applyAlignment="0" applyProtection="0"/>
    <xf numFmtId="0" fontId="8" fillId="0" borderId="0"/>
    <xf numFmtId="0" fontId="8" fillId="0" borderId="0"/>
    <xf numFmtId="0" fontId="22" fillId="86" borderId="0" applyNumberFormat="0" applyBorder="0" applyAlignment="0" applyProtection="0"/>
    <xf numFmtId="0" fontId="22" fillId="88" borderId="0" applyNumberFormat="0" applyBorder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26" fillId="0" borderId="36" applyNumberFormat="0" applyFill="0" applyAlignment="0" applyProtection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5" fillId="0" borderId="0"/>
    <xf numFmtId="0" fontId="22" fillId="85" borderId="0" applyNumberFormat="0" applyBorder="0" applyAlignment="0" applyProtection="0"/>
    <xf numFmtId="0" fontId="22" fillId="86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84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88" borderId="0" applyNumberFormat="0" applyBorder="0" applyAlignment="0" applyProtection="0"/>
    <xf numFmtId="0" fontId="22" fillId="84" borderId="0" applyNumberFormat="0" applyBorder="0" applyAlignment="0" applyProtection="0"/>
    <xf numFmtId="0" fontId="22" fillId="93" borderId="0" applyNumberFormat="0" applyBorder="0" applyAlignment="0" applyProtection="0"/>
    <xf numFmtId="0" fontId="21" fillId="98" borderId="0" applyNumberFormat="0" applyBorder="0" applyAlignment="0" applyProtection="0"/>
    <xf numFmtId="0" fontId="21" fillId="94" borderId="0" applyNumberFormat="0" applyBorder="0" applyAlignment="0" applyProtection="0"/>
    <xf numFmtId="0" fontId="21" fillId="91" borderId="0" applyNumberFormat="0" applyBorder="0" applyAlignment="0" applyProtection="0"/>
    <xf numFmtId="0" fontId="21" fillId="92" borderId="0" applyNumberFormat="0" applyBorder="0" applyAlignment="0" applyProtection="0"/>
    <xf numFmtId="0" fontId="21" fillId="95" borderId="0" applyNumberFormat="0" applyBorder="0" applyAlignment="0" applyProtection="0"/>
    <xf numFmtId="0" fontId="21" fillId="96" borderId="0" applyNumberFormat="0" applyBorder="0" applyAlignment="0" applyProtection="0"/>
    <xf numFmtId="0" fontId="21" fillId="97" borderId="0" applyNumberFormat="0" applyBorder="0" applyAlignment="0" applyProtection="0"/>
    <xf numFmtId="0" fontId="21" fillId="98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1" fillId="84" borderId="0" applyNumberFormat="0" applyBorder="0" applyAlignment="0" applyProtection="0"/>
    <xf numFmtId="0" fontId="21" fillId="18" borderId="0" applyNumberFormat="0" applyBorder="0" applyAlignment="0" applyProtection="0"/>
    <xf numFmtId="0" fontId="21" fillId="99" borderId="0" applyNumberFormat="0" applyBorder="0" applyAlignment="0" applyProtection="0"/>
    <xf numFmtId="0" fontId="22" fillId="100" borderId="0" applyNumberFormat="0" applyBorder="0" applyAlignment="0" applyProtection="0"/>
    <xf numFmtId="0" fontId="22" fillId="101" borderId="0" applyNumberFormat="0" applyBorder="0" applyAlignment="0" applyProtection="0"/>
    <xf numFmtId="0" fontId="21" fillId="102" borderId="0" applyNumberFormat="0" applyBorder="0" applyAlignment="0" applyProtection="0"/>
    <xf numFmtId="0" fontId="21" fillId="22" borderId="0" applyNumberFormat="0" applyBorder="0" applyAlignment="0" applyProtection="0"/>
    <xf numFmtId="0" fontId="21" fillId="102" borderId="0" applyNumberFormat="0" applyBorder="0" applyAlignment="0" applyProtection="0"/>
    <xf numFmtId="0" fontId="22" fillId="100" borderId="0" applyNumberFormat="0" applyBorder="0" applyAlignment="0" applyProtection="0"/>
    <xf numFmtId="0" fontId="22" fillId="87" borderId="0" applyNumberFormat="0" applyBorder="0" applyAlignment="0" applyProtection="0"/>
    <xf numFmtId="0" fontId="21" fillId="101" borderId="0" applyNumberFormat="0" applyBorder="0" applyAlignment="0" applyProtection="0"/>
    <xf numFmtId="0" fontId="21" fillId="21" borderId="0" applyNumberFormat="0" applyBorder="0" applyAlignment="0" applyProtection="0"/>
    <xf numFmtId="0" fontId="21" fillId="98" borderId="0" applyNumberFormat="0" applyBorder="0" applyAlignment="0" applyProtection="0"/>
    <xf numFmtId="0" fontId="22" fillId="85" borderId="0" applyNumberFormat="0" applyBorder="0" applyAlignment="0" applyProtection="0"/>
    <xf numFmtId="0" fontId="22" fillId="101" borderId="0" applyNumberFormat="0" applyBorder="0" applyAlignment="0" applyProtection="0"/>
    <xf numFmtId="0" fontId="21" fillId="101" borderId="0" applyNumberFormat="0" applyBorder="0" applyAlignment="0" applyProtection="0"/>
    <xf numFmtId="0" fontId="21" fillId="21" borderId="0" applyNumberFormat="0" applyBorder="0" applyAlignment="0" applyProtection="0"/>
    <xf numFmtId="0" fontId="21" fillId="96" borderId="0" applyNumberFormat="0" applyBorder="0" applyAlignment="0" applyProtection="0"/>
    <xf numFmtId="0" fontId="22" fillId="89" borderId="0" applyNumberFormat="0" applyBorder="0" applyAlignment="0" applyProtection="0"/>
    <xf numFmtId="0" fontId="22" fillId="85" borderId="0" applyNumberFormat="0" applyBorder="0" applyAlignment="0" applyProtection="0"/>
    <xf numFmtId="0" fontId="21" fillId="84" borderId="0" applyNumberFormat="0" applyBorder="0" applyAlignment="0" applyProtection="0"/>
    <xf numFmtId="0" fontId="21" fillId="18" borderId="0" applyNumberFormat="0" applyBorder="0" applyAlignment="0" applyProtection="0"/>
    <xf numFmtId="0" fontId="21" fillId="97" borderId="0" applyNumberFormat="0" applyBorder="0" applyAlignment="0" applyProtection="0"/>
    <xf numFmtId="0" fontId="22" fillId="100" borderId="0" applyNumberFormat="0" applyBorder="0" applyAlignment="0" applyProtection="0"/>
    <xf numFmtId="0" fontId="22" fillId="90" borderId="0" applyNumberFormat="0" applyBorder="0" applyAlignment="0" applyProtection="0"/>
    <xf numFmtId="0" fontId="21" fillId="90" borderId="0" applyNumberFormat="0" applyBorder="0" applyAlignment="0" applyProtection="0"/>
    <xf numFmtId="0" fontId="21" fillId="27" borderId="0" applyNumberFormat="0" applyBorder="0" applyAlignment="0" applyProtection="0"/>
    <xf numFmtId="0" fontId="24" fillId="103" borderId="33" applyNumberFormat="0" applyAlignment="0" applyProtection="0"/>
    <xf numFmtId="0" fontId="9" fillId="100" borderId="34" applyNumberFormat="0" applyAlignment="0" applyProtection="0"/>
    <xf numFmtId="0" fontId="26" fillId="104" borderId="0" applyNumberFormat="0" applyBorder="0" applyAlignment="0" applyProtection="0"/>
    <xf numFmtId="0" fontId="26" fillId="29" borderId="0" applyNumberFormat="0" applyBorder="0" applyAlignment="0" applyProtection="0"/>
    <xf numFmtId="0" fontId="26" fillId="105" borderId="0" applyNumberFormat="0" applyBorder="0" applyAlignment="0" applyProtection="0"/>
    <xf numFmtId="0" fontId="26" fillId="30" borderId="0" applyNumberFormat="0" applyBorder="0" applyAlignment="0" applyProtection="0"/>
    <xf numFmtId="0" fontId="26" fillId="106" borderId="0" applyNumberFormat="0" applyBorder="0" applyAlignment="0" applyProtection="0"/>
    <xf numFmtId="0" fontId="26" fillId="31" borderId="0" applyNumberFormat="0" applyBorder="0" applyAlignment="0" applyProtection="0"/>
    <xf numFmtId="0" fontId="27" fillId="90" borderId="33" applyNumberFormat="0" applyAlignment="0" applyProtection="0"/>
    <xf numFmtId="0" fontId="28" fillId="86" borderId="0" applyNumberFormat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9" fontId="9" fillId="0" borderId="0" applyFont="0" applyFill="0" applyBorder="0" applyAlignment="0" applyProtection="0"/>
    <xf numFmtId="0" fontId="29" fillId="83" borderId="0" applyNumberFormat="0" applyBorder="0" applyAlignment="0" applyProtection="0"/>
    <xf numFmtId="0" fontId="8" fillId="0" borderId="0"/>
    <xf numFmtId="0" fontId="30" fillId="87" borderId="0" applyNumberFormat="0" applyBorder="0" applyAlignment="0" applyProtection="0"/>
    <xf numFmtId="0" fontId="31" fillId="103" borderId="35" applyNumberFormat="0" applyAlignment="0" applyProtection="0"/>
    <xf numFmtId="0" fontId="21" fillId="102" borderId="0" applyNumberFormat="0" applyBorder="0" applyAlignment="0" applyProtection="0"/>
    <xf numFmtId="0" fontId="21" fillId="99" borderId="0" applyNumberFormat="0" applyBorder="0" applyAlignment="0" applyProtection="0"/>
    <xf numFmtId="0" fontId="36" fillId="102" borderId="9" applyNumberFormat="0" applyAlignment="0" applyProtection="0"/>
    <xf numFmtId="0" fontId="21" fillId="16" borderId="0" applyNumberFormat="0" applyBorder="0" applyAlignment="0" applyProtection="0"/>
    <xf numFmtId="181" fontId="21" fillId="18" borderId="0" applyNumberFormat="0" applyBorder="0" applyAlignment="0" applyProtection="0"/>
    <xf numFmtId="181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181" fontId="21" fillId="22" borderId="0" applyNumberFormat="0" applyBorder="0" applyAlignment="0" applyProtection="0"/>
    <xf numFmtId="181" fontId="21" fillId="19" borderId="0" applyNumberFormat="0" applyBorder="0" applyAlignment="0" applyProtection="0"/>
    <xf numFmtId="0" fontId="21" fillId="102" borderId="0" applyNumberFormat="0" applyBorder="0" applyAlignment="0" applyProtection="0"/>
    <xf numFmtId="0" fontId="21" fillId="22" borderId="0" applyNumberFormat="0" applyBorder="0" applyAlignment="0" applyProtection="0"/>
    <xf numFmtId="181" fontId="21" fillId="21" borderId="0" applyNumberFormat="0" applyBorder="0" applyAlignment="0" applyProtection="0"/>
    <xf numFmtId="181" fontId="21" fillId="22" borderId="0" applyNumberFormat="0" applyBorder="0" applyAlignment="0" applyProtection="0"/>
    <xf numFmtId="0" fontId="21" fillId="16" borderId="0" applyNumberFormat="0" applyBorder="0" applyAlignment="0" applyProtection="0"/>
    <xf numFmtId="181" fontId="21" fillId="21" borderId="0" applyNumberFormat="0" applyBorder="0" applyAlignment="0" applyProtection="0"/>
    <xf numFmtId="181" fontId="21" fillId="16" borderId="0" applyNumberFormat="0" applyBorder="0" applyAlignment="0" applyProtection="0"/>
    <xf numFmtId="0" fontId="21" fillId="24" borderId="0" applyNumberFormat="0" applyBorder="0" applyAlignment="0" applyProtection="0"/>
    <xf numFmtId="181" fontId="21" fillId="18" borderId="0" applyNumberFormat="0" applyBorder="0" applyAlignment="0" applyProtection="0"/>
    <xf numFmtId="181" fontId="21" fillId="24" borderId="0" applyNumberFormat="0" applyBorder="0" applyAlignment="0" applyProtection="0"/>
    <xf numFmtId="0" fontId="21" fillId="26" borderId="0" applyNumberFormat="0" applyBorder="0" applyAlignment="0" applyProtection="0"/>
    <xf numFmtId="181" fontId="21" fillId="27" borderId="0" applyNumberFormat="0" applyBorder="0" applyAlignment="0" applyProtection="0"/>
    <xf numFmtId="181" fontId="21" fillId="26" borderId="0" applyNumberFormat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26" fillId="29" borderId="0" applyNumberFormat="0" applyBorder="0" applyAlignment="0" applyProtection="0"/>
    <xf numFmtId="181" fontId="26" fillId="30" borderId="0" applyNumberFormat="0" applyBorder="0" applyAlignment="0" applyProtection="0"/>
    <xf numFmtId="181" fontId="26" fillId="31" borderId="0" applyNumberFormat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16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1" fillId="97" borderId="0" applyNumberFormat="0" applyBorder="0" applyAlignment="0" applyProtection="0"/>
    <xf numFmtId="0" fontId="21" fillId="102" borderId="0" applyNumberFormat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1" fillId="9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97" borderId="0" applyNumberFormat="0" applyBorder="0" applyAlignment="0" applyProtection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97" borderId="0" applyNumberFormat="0" applyBorder="0" applyAlignment="0" applyProtection="0"/>
    <xf numFmtId="0" fontId="21" fillId="96" borderId="0" applyNumberFormat="0" applyBorder="0" applyAlignment="0" applyProtection="0"/>
    <xf numFmtId="9" fontId="8" fillId="0" borderId="0" applyFont="0" applyFill="0" applyBorder="0" applyAlignment="0" applyProtection="0"/>
    <xf numFmtId="0" fontId="21" fillId="98" borderId="0" applyNumberFormat="0" applyBorder="0" applyAlignment="0" applyProtection="0"/>
    <xf numFmtId="0" fontId="21" fillId="98" borderId="0" applyNumberFormat="0" applyBorder="0" applyAlignment="0" applyProtection="0"/>
    <xf numFmtId="0" fontId="21" fillId="99" borderId="0" applyNumberFormat="0" applyBorder="0" applyAlignment="0" applyProtection="0"/>
    <xf numFmtId="0" fontId="21" fillId="97" borderId="0" applyNumberFormat="0" applyBorder="0" applyAlignment="0" applyProtection="0"/>
    <xf numFmtId="181" fontId="22" fillId="2" borderId="0" applyNumberFormat="0" applyBorder="0" applyAlignment="0" applyProtection="0"/>
    <xf numFmtId="0" fontId="22" fillId="2" borderId="0" applyNumberFormat="0" applyBorder="0" applyAlignment="0" applyProtection="0"/>
    <xf numFmtId="181" fontId="22" fillId="3" borderId="0" applyNumberFormat="0" applyBorder="0" applyAlignment="0" applyProtection="0"/>
    <xf numFmtId="0" fontId="22" fillId="3" borderId="0" applyNumberFormat="0" applyBorder="0" applyAlignment="0" applyProtection="0"/>
    <xf numFmtId="181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9" fillId="20" borderId="34" applyNumberFormat="0" applyFont="0" applyAlignment="0" applyProtection="0"/>
    <xf numFmtId="181" fontId="22" fillId="5" borderId="0" applyNumberFormat="0" applyBorder="0" applyAlignment="0" applyProtection="0"/>
    <xf numFmtId="0" fontId="22" fillId="5" borderId="0" applyNumberFormat="0" applyBorder="0" applyAlignment="0" applyProtection="0"/>
    <xf numFmtId="181" fontId="24" fillId="28" borderId="33" applyNumberFormat="0" applyAlignment="0" applyProtection="0"/>
    <xf numFmtId="181" fontId="22" fillId="6" borderId="0" applyNumberFormat="0" applyBorder="0" applyAlignment="0" applyProtection="0"/>
    <xf numFmtId="0" fontId="22" fillId="6" borderId="0" applyNumberFormat="0" applyBorder="0" applyAlignment="0" applyProtection="0"/>
    <xf numFmtId="181" fontId="22" fillId="7" borderId="0" applyNumberFormat="0" applyBorder="0" applyAlignment="0" applyProtection="0"/>
    <xf numFmtId="0" fontId="22" fillId="7" borderId="0" applyNumberFormat="0" applyBorder="0" applyAlignment="0" applyProtection="0"/>
    <xf numFmtId="181" fontId="22" fillId="8" borderId="0" applyNumberFormat="0" applyBorder="0" applyAlignment="0" applyProtection="0"/>
    <xf numFmtId="181" fontId="22" fillId="9" borderId="0" applyNumberFormat="0" applyBorder="0" applyAlignment="0" applyProtection="0"/>
    <xf numFmtId="0" fontId="22" fillId="9" borderId="0" applyNumberFormat="0" applyBorder="0" applyAlignment="0" applyProtection="0"/>
    <xf numFmtId="181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7" fillId="27" borderId="33" applyNumberFormat="0" applyAlignment="0" applyProtection="0"/>
    <xf numFmtId="181" fontId="22" fillId="5" borderId="0" applyNumberFormat="0" applyBorder="0" applyAlignment="0" applyProtection="0"/>
    <xf numFmtId="181" fontId="22" fillId="8" borderId="0" applyNumberFormat="0" applyBorder="0" applyAlignment="0" applyProtection="0"/>
    <xf numFmtId="181" fontId="22" fillId="11" borderId="0" applyNumberFormat="0" applyBorder="0" applyAlignment="0" applyProtection="0"/>
    <xf numFmtId="181" fontId="21" fillId="12" borderId="0" applyNumberFormat="0" applyBorder="0" applyAlignment="0" applyProtection="0"/>
    <xf numFmtId="0" fontId="21" fillId="12" borderId="0" applyNumberFormat="0" applyBorder="0" applyAlignment="0" applyProtection="0"/>
    <xf numFmtId="181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2" fillId="25" borderId="0" applyNumberFormat="0" applyBorder="0" applyAlignment="0" applyProtection="0"/>
    <xf numFmtId="181" fontId="21" fillId="10" borderId="0" applyNumberFormat="0" applyBorder="0" applyAlignment="0" applyProtection="0"/>
    <xf numFmtId="0" fontId="21" fillId="10" borderId="0" applyNumberFormat="0" applyBorder="0" applyAlignment="0" applyProtection="0"/>
    <xf numFmtId="181" fontId="21" fillId="13" borderId="0" applyNumberFormat="0" applyBorder="0" applyAlignment="0" applyProtection="0"/>
    <xf numFmtId="0" fontId="21" fillId="13" borderId="0" applyNumberFormat="0" applyBorder="0" applyAlignment="0" applyProtection="0"/>
    <xf numFmtId="181" fontId="21" fillId="14" borderId="0" applyNumberFormat="0" applyBorder="0" applyAlignment="0" applyProtection="0"/>
    <xf numFmtId="181" fontId="21" fillId="15" borderId="0" applyNumberFormat="0" applyBorder="0" applyAlignment="0" applyProtection="0"/>
    <xf numFmtId="0" fontId="21" fillId="15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1" fillId="18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2" fillId="20" borderId="0" applyNumberFormat="0" applyBorder="0" applyAlignment="0" applyProtection="0"/>
    <xf numFmtId="181" fontId="22" fillId="20" borderId="0" applyNumberFormat="0" applyBorder="0" applyAlignment="0" applyProtection="0"/>
    <xf numFmtId="181" fontId="22" fillId="21" borderId="0" applyNumberFormat="0" applyBorder="0" applyAlignment="0" applyProtection="0"/>
    <xf numFmtId="181" fontId="22" fillId="21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1" fillId="19" borderId="0" applyNumberFormat="0" applyBorder="0" applyAlignment="0" applyProtection="0"/>
    <xf numFmtId="0" fontId="21" fillId="19" borderId="0" applyNumberFormat="0" applyBorder="0" applyAlignment="0" applyProtection="0"/>
    <xf numFmtId="181" fontId="22" fillId="20" borderId="0" applyNumberFormat="0" applyBorder="0" applyAlignment="0" applyProtection="0"/>
    <xf numFmtId="181" fontId="22" fillId="20" borderId="0" applyNumberFormat="0" applyBorder="0" applyAlignment="0" applyProtection="0"/>
    <xf numFmtId="181" fontId="21" fillId="16" borderId="0" applyNumberFormat="0" applyBorder="0" applyAlignment="0" applyProtection="0"/>
    <xf numFmtId="181" fontId="22" fillId="23" borderId="0" applyNumberFormat="0" applyBorder="0" applyAlignment="0" applyProtection="0"/>
    <xf numFmtId="181" fontId="22" fillId="23" borderId="0" applyNumberFormat="0" applyBorder="0" applyAlignment="0" applyProtection="0"/>
    <xf numFmtId="181" fontId="21" fillId="21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181" fontId="26" fillId="0" borderId="36" applyNumberFormat="0" applyFill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1" fillId="28" borderId="35" applyNumberFormat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1" fillId="22" borderId="0" applyNumberFormat="0" applyBorder="0" applyAlignment="0" applyProtection="0"/>
    <xf numFmtId="0" fontId="21" fillId="22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2" fillId="21" borderId="0" applyNumberFormat="0" applyBorder="0" applyAlignment="0" applyProtection="0"/>
    <xf numFmtId="181" fontId="22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21" borderId="0" applyNumberFormat="0" applyBorder="0" applyAlignment="0" applyProtection="0"/>
    <xf numFmtId="181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9" fillId="0" borderId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2" fillId="25" borderId="0" applyNumberFormat="0" applyBorder="0" applyAlignment="0" applyProtection="0"/>
    <xf numFmtId="181" fontId="22" fillId="25" borderId="0" applyNumberFormat="0" applyBorder="0" applyAlignment="0" applyProtection="0"/>
    <xf numFmtId="181" fontId="22" fillId="17" borderId="0" applyNumberFormat="0" applyBorder="0" applyAlignment="0" applyProtection="0"/>
    <xf numFmtId="181" fontId="22" fillId="17" borderId="0" applyNumberFormat="0" applyBorder="0" applyAlignment="0" applyProtection="0"/>
    <xf numFmtId="181" fontId="21" fillId="18" borderId="0" applyNumberFormat="0" applyBorder="0" applyAlignment="0" applyProtection="0"/>
    <xf numFmtId="0" fontId="21" fillId="18" borderId="0" applyNumberFormat="0" applyBorder="0" applyAlignment="0" applyProtection="0"/>
    <xf numFmtId="181" fontId="21" fillId="18" borderId="0" applyNumberFormat="0" applyBorder="0" applyAlignment="0" applyProtection="0"/>
    <xf numFmtId="181" fontId="26" fillId="0" borderId="36" applyNumberFormat="0" applyFill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9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181" fontId="22" fillId="20" borderId="0" applyNumberFormat="0" applyBorder="0" applyAlignment="0" applyProtection="0"/>
    <xf numFmtId="181" fontId="22" fillId="20" borderId="0" applyNumberFormat="0" applyBorder="0" applyAlignment="0" applyProtection="0"/>
    <xf numFmtId="181" fontId="22" fillId="27" borderId="0" applyNumberFormat="0" applyBorder="0" applyAlignment="0" applyProtection="0"/>
    <xf numFmtId="181" fontId="22" fillId="27" borderId="0" applyNumberFormat="0" applyBorder="0" applyAlignment="0" applyProtection="0"/>
    <xf numFmtId="0" fontId="27" fillId="27" borderId="33" applyNumberFormat="0" applyAlignment="0" applyProtection="0"/>
    <xf numFmtId="181" fontId="21" fillId="27" borderId="0" applyNumberFormat="0" applyBorder="0" applyAlignment="0" applyProtection="0"/>
    <xf numFmtId="0" fontId="21" fillId="27" borderId="0" applyNumberFormat="0" applyBorder="0" applyAlignment="0" applyProtection="0"/>
    <xf numFmtId="181" fontId="21" fillId="27" borderId="0" applyNumberFormat="0" applyBorder="0" applyAlignment="0" applyProtection="0"/>
    <xf numFmtId="0" fontId="27" fillId="27" borderId="33" applyNumberFormat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181" fontId="23" fillId="0" borderId="0" applyNumberFormat="0" applyFill="0" applyBorder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181" fontId="25" fillId="0" borderId="2" applyNumberFormat="0" applyFill="0" applyAlignment="0" applyProtection="0"/>
    <xf numFmtId="181" fontId="25" fillId="0" borderId="2" applyNumberFormat="0" applyFill="0" applyAlignment="0" applyProtection="0"/>
    <xf numFmtId="181" fontId="25" fillId="0" borderId="2" applyNumberFormat="0" applyFill="0" applyAlignment="0" applyProtection="0"/>
    <xf numFmtId="0" fontId="80" fillId="74" borderId="0" applyNumberFormat="0" applyBorder="0" applyAlignment="0" applyProtection="0"/>
    <xf numFmtId="181" fontId="25" fillId="0" borderId="2" applyNumberFormat="0" applyFill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26" fillId="29" borderId="0" applyNumberFormat="0" applyBorder="0" applyAlignment="0" applyProtection="0"/>
    <xf numFmtId="0" fontId="26" fillId="29" borderId="0" applyNumberFormat="0" applyBorder="0" applyAlignment="0" applyProtection="0"/>
    <xf numFmtId="181" fontId="26" fillId="29" borderId="0" applyNumberFormat="0" applyBorder="0" applyAlignment="0" applyProtection="0"/>
    <xf numFmtId="181" fontId="26" fillId="30" borderId="0" applyNumberFormat="0" applyBorder="0" applyAlignment="0" applyProtection="0"/>
    <xf numFmtId="0" fontId="26" fillId="30" borderId="0" applyNumberFormat="0" applyBorder="0" applyAlignment="0" applyProtection="0"/>
    <xf numFmtId="181" fontId="26" fillId="30" borderId="0" applyNumberFormat="0" applyBorder="0" applyAlignment="0" applyProtection="0"/>
    <xf numFmtId="0" fontId="21" fillId="75" borderId="0" applyNumberFormat="0" applyBorder="0" applyAlignment="0" applyProtection="0"/>
    <xf numFmtId="181" fontId="26" fillId="31" borderId="0" applyNumberFormat="0" applyBorder="0" applyAlignment="0" applyProtection="0"/>
    <xf numFmtId="0" fontId="26" fillId="31" borderId="0" applyNumberFormat="0" applyBorder="0" applyAlignment="0" applyProtection="0"/>
    <xf numFmtId="181" fontId="26" fillId="31" borderId="0" applyNumberFormat="0" applyBorder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6" fontId="9" fillId="0" borderId="0" applyFill="0" applyBorder="0" applyAlignment="0" applyProtection="0"/>
    <xf numFmtId="186" fontId="9" fillId="0" borderId="0" applyFill="0" applyBorder="0" applyAlignment="0" applyProtection="0"/>
    <xf numFmtId="181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6" fontId="9" fillId="0" borderId="0" applyFill="0" applyBorder="0" applyAlignment="0" applyProtection="0"/>
    <xf numFmtId="186" fontId="9" fillId="0" borderId="0" applyFill="0" applyBorder="0" applyAlignment="0" applyProtection="0"/>
    <xf numFmtId="181" fontId="28" fillId="32" borderId="0" applyNumberFormat="0" applyBorder="0" applyAlignment="0" applyProtection="0"/>
    <xf numFmtId="181" fontId="28" fillId="32" borderId="0" applyNumberFormat="0" applyBorder="0" applyAlignment="0" applyProtection="0"/>
    <xf numFmtId="181" fontId="28" fillId="32" borderId="0" applyNumberFormat="0" applyBorder="0" applyAlignment="0" applyProtection="0"/>
    <xf numFmtId="181" fontId="28" fillId="32" borderId="0" applyNumberFormat="0" applyBorder="0" applyAlignment="0" applyProtection="0"/>
    <xf numFmtId="181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181" fontId="86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7" fontId="9" fillId="0" borderId="0" applyFill="0" applyBorder="0" applyAlignment="0" applyProtection="0"/>
    <xf numFmtId="164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7" fontId="9" fillId="0" borderId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21" fillId="19" borderId="0" applyNumberFormat="0" applyBorder="0" applyAlignment="0" applyProtection="0"/>
    <xf numFmtId="177" fontId="9" fillId="0" borderId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181" fontId="29" fillId="33" borderId="0" applyNumberFormat="0" applyBorder="0" applyAlignment="0" applyProtection="0"/>
    <xf numFmtId="181" fontId="29" fillId="3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181" fontId="9" fillId="0" borderId="0"/>
    <xf numFmtId="181" fontId="9" fillId="0" borderId="0"/>
    <xf numFmtId="181" fontId="9" fillId="0" borderId="0"/>
    <xf numFmtId="0" fontId="9" fillId="0" borderId="0"/>
    <xf numFmtId="181" fontId="9" fillId="0" borderId="0"/>
    <xf numFmtId="0" fontId="9" fillId="0" borderId="0"/>
    <xf numFmtId="181" fontId="9" fillId="0" borderId="0"/>
    <xf numFmtId="0" fontId="9" fillId="0" borderId="0"/>
    <xf numFmtId="0" fontId="22" fillId="85" borderId="0" applyNumberFormat="0" applyBorder="0" applyAlignment="0" applyProtection="0"/>
    <xf numFmtId="0" fontId="22" fillId="8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8" fillId="0" borderId="0"/>
    <xf numFmtId="0" fontId="8" fillId="0" borderId="0"/>
    <xf numFmtId="0" fontId="8" fillId="0" borderId="0"/>
    <xf numFmtId="181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8" fillId="0" borderId="0"/>
    <xf numFmtId="0" fontId="8" fillId="0" borderId="0"/>
    <xf numFmtId="0" fontId="21" fillId="16" borderId="0" applyNumberFormat="0" applyBorder="0" applyAlignment="0" applyProtection="0"/>
    <xf numFmtId="0" fontId="8" fillId="0" borderId="0"/>
    <xf numFmtId="181" fontId="9" fillId="0" borderId="0"/>
    <xf numFmtId="181" fontId="9" fillId="0" borderId="0"/>
    <xf numFmtId="0" fontId="9" fillId="0" borderId="0"/>
    <xf numFmtId="0" fontId="8" fillId="0" borderId="0"/>
    <xf numFmtId="0" fontId="8" fillId="0" borderId="0"/>
    <xf numFmtId="0" fontId="21" fillId="1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181" fontId="26" fillId="0" borderId="3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0" fontId="31" fillId="28" borderId="35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181" fontId="30" fillId="23" borderId="0" applyNumberFormat="0" applyBorder="0" applyAlignment="0" applyProtection="0"/>
    <xf numFmtId="0" fontId="27" fillId="27" borderId="33" applyNumberFormat="0" applyAlignment="0" applyProtection="0"/>
    <xf numFmtId="181" fontId="30" fillId="23" borderId="0" applyNumberFormat="0" applyBorder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181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81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81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181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1" fontId="32" fillId="0" borderId="0" applyNumberFormat="0" applyFill="0" applyBorder="0" applyAlignment="0" applyProtection="0"/>
    <xf numFmtId="0" fontId="24" fillId="28" borderId="33" applyNumberFormat="0" applyAlignment="0" applyProtection="0"/>
    <xf numFmtId="181" fontId="33" fillId="0" borderId="5" applyNumberFormat="0" applyFill="0" applyAlignment="0" applyProtection="0"/>
    <xf numFmtId="181" fontId="33" fillId="0" borderId="5" applyNumberFormat="0" applyFill="0" applyAlignment="0" applyProtection="0"/>
    <xf numFmtId="181" fontId="33" fillId="0" borderId="5" applyNumberFormat="0" applyFill="0" applyAlignment="0" applyProtection="0"/>
    <xf numFmtId="181" fontId="22" fillId="17" borderId="0" applyNumberFormat="0" applyBorder="0" applyAlignment="0" applyProtection="0"/>
    <xf numFmtId="181" fontId="33" fillId="0" borderId="5" applyNumberFormat="0" applyFill="0" applyAlignment="0" applyProtection="0"/>
    <xf numFmtId="181" fontId="34" fillId="0" borderId="6" applyNumberFormat="0" applyFill="0" applyAlignment="0" applyProtection="0"/>
    <xf numFmtId="181" fontId="34" fillId="0" borderId="6" applyNumberFormat="0" applyFill="0" applyAlignment="0" applyProtection="0"/>
    <xf numFmtId="181" fontId="34" fillId="0" borderId="6" applyNumberFormat="0" applyFill="0" applyAlignment="0" applyProtection="0"/>
    <xf numFmtId="181" fontId="34" fillId="0" borderId="6" applyNumberFormat="0" applyFill="0" applyAlignment="0" applyProtection="0"/>
    <xf numFmtId="181" fontId="35" fillId="0" borderId="7" applyNumberFormat="0" applyFill="0" applyAlignment="0" applyProtection="0"/>
    <xf numFmtId="181" fontId="35" fillId="0" borderId="7" applyNumberFormat="0" applyFill="0" applyAlignment="0" applyProtection="0"/>
    <xf numFmtId="181" fontId="35" fillId="0" borderId="7" applyNumberFormat="0" applyFill="0" applyAlignment="0" applyProtection="0"/>
    <xf numFmtId="0" fontId="21" fillId="76" borderId="0" applyNumberFormat="0" applyBorder="0" applyAlignment="0" applyProtection="0"/>
    <xf numFmtId="181" fontId="35" fillId="0" borderId="7" applyNumberFormat="0" applyFill="0" applyAlignment="0" applyProtection="0"/>
    <xf numFmtId="181" fontId="35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181" fontId="35" fillId="0" borderId="0" applyNumberFormat="0" applyFill="0" applyBorder="0" applyAlignment="0" applyProtection="0"/>
    <xf numFmtId="0" fontId="21" fillId="75" borderId="0" applyNumberFormat="0" applyBorder="0" applyAlignment="0" applyProtection="0"/>
    <xf numFmtId="181" fontId="35" fillId="0" borderId="0" applyNumberFormat="0" applyFill="0" applyBorder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36" fillId="22" borderId="9" applyNumberFormat="0" applyAlignment="0" applyProtection="0"/>
    <xf numFmtId="181" fontId="36" fillId="22" borderId="9" applyNumberFormat="0" applyAlignment="0" applyProtection="0"/>
    <xf numFmtId="0" fontId="36" fillId="22" borderId="9" applyNumberFormat="0" applyAlignment="0" applyProtection="0"/>
    <xf numFmtId="181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0" fontId="36" fillId="22" borderId="9" applyNumberFormat="0" applyAlignment="0" applyProtection="0"/>
    <xf numFmtId="181" fontId="36" fillId="22" borderId="9" applyNumberFormat="0" applyAlignment="0" applyProtection="0"/>
    <xf numFmtId="181" fontId="36" fillId="22" borderId="9" applyNumberFormat="0" applyAlignment="0" applyProtection="0"/>
    <xf numFmtId="17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21" fillId="107" borderId="0" applyNumberFormat="0" applyBorder="0" applyAlignment="0" applyProtection="0"/>
    <xf numFmtId="0" fontId="21" fillId="76" borderId="0" applyNumberFormat="0" applyBorder="0" applyAlignment="0" applyProtection="0"/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21" fillId="76" borderId="0" applyNumberFormat="0" applyBorder="0" applyAlignment="0" applyProtection="0"/>
    <xf numFmtId="0" fontId="21" fillId="107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78" borderId="0" applyNumberFormat="0" applyBorder="0" applyAlignment="0" applyProtection="0"/>
    <xf numFmtId="0" fontId="77" fillId="73" borderId="33" applyNumberFormat="0" applyAlignment="0" applyProtection="0"/>
    <xf numFmtId="0" fontId="78" fillId="0" borderId="2" applyNumberFormat="0" applyFill="0" applyAlignment="0" applyProtection="0"/>
    <xf numFmtId="0" fontId="22" fillId="79" borderId="34" applyNumberFormat="0" applyFont="0" applyAlignment="0" applyProtection="0"/>
    <xf numFmtId="0" fontId="27" fillId="7" borderId="33" applyNumberFormat="0" applyAlignment="0" applyProtection="0"/>
    <xf numFmtId="0" fontId="79" fillId="3" borderId="0" applyNumberFormat="0" applyBorder="0" applyAlignment="0" applyProtection="0"/>
    <xf numFmtId="0" fontId="29" fillId="81" borderId="0" applyNumberFormat="0" applyBorder="0" applyAlignment="0" applyProtection="0"/>
    <xf numFmtId="0" fontId="30" fillId="4" borderId="0" applyNumberFormat="0" applyBorder="0" applyAlignment="0" applyProtection="0"/>
    <xf numFmtId="0" fontId="31" fillId="73" borderId="35" applyNumberFormat="0" applyAlignment="0" applyProtection="0"/>
    <xf numFmtId="0" fontId="87" fillId="0" borderId="38" applyNumberFormat="0" applyFill="0" applyAlignment="0" applyProtection="0"/>
    <xf numFmtId="0" fontId="88" fillId="0" borderId="6" applyNumberFormat="0" applyFill="0" applyAlignment="0" applyProtection="0"/>
    <xf numFmtId="0" fontId="89" fillId="0" borderId="42" applyNumberFormat="0" applyFill="0" applyAlignment="0" applyProtection="0"/>
    <xf numFmtId="0" fontId="89" fillId="0" borderId="0" applyNumberFormat="0" applyFill="0" applyBorder="0" applyAlignment="0" applyProtection="0"/>
    <xf numFmtId="0" fontId="26" fillId="0" borderId="41" applyNumberFormat="0" applyFill="0" applyAlignment="0" applyProtection="0"/>
    <xf numFmtId="0" fontId="36" fillId="82" borderId="9" applyNumberFormat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78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1" fillId="16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1" fillId="19" borderId="0" applyNumberFormat="0" applyBorder="0" applyAlignment="0" applyProtection="0"/>
    <xf numFmtId="0" fontId="21" fillId="97" borderId="0" applyNumberFormat="0" applyBorder="0" applyAlignment="0" applyProtection="0"/>
    <xf numFmtId="0" fontId="21" fillId="98" borderId="0" applyNumberFormat="0" applyBorder="0" applyAlignment="0" applyProtection="0"/>
    <xf numFmtId="0" fontId="21" fillId="99" borderId="0" applyNumberFormat="0" applyBorder="0" applyAlignment="0" applyProtection="0"/>
    <xf numFmtId="0" fontId="21" fillId="102" borderId="0" applyNumberFormat="0" applyBorder="0" applyAlignment="0" applyProtection="0"/>
    <xf numFmtId="0" fontId="21" fillId="98" borderId="0" applyNumberFormat="0" applyBorder="0" applyAlignment="0" applyProtection="0"/>
    <xf numFmtId="0" fontId="21" fillId="98" borderId="0" applyNumberFormat="0" applyBorder="0" applyAlignment="0" applyProtection="0"/>
    <xf numFmtId="0" fontId="21" fillId="96" borderId="0" applyNumberFormat="0" applyBorder="0" applyAlignment="0" applyProtection="0"/>
    <xf numFmtId="0" fontId="21" fillId="96" borderId="0" applyNumberFormat="0" applyBorder="0" applyAlignment="0" applyProtection="0"/>
    <xf numFmtId="0" fontId="21" fillId="98" borderId="0" applyNumberFormat="0" applyBorder="0" applyAlignment="0" applyProtection="0"/>
    <xf numFmtId="0" fontId="21" fillId="99" borderId="0" applyNumberFormat="0" applyBorder="0" applyAlignment="0" applyProtection="0"/>
    <xf numFmtId="0" fontId="21" fillId="98" borderId="0" applyNumberFormat="0" applyBorder="0" applyAlignment="0" applyProtection="0"/>
    <xf numFmtId="186" fontId="9" fillId="0" borderId="0" applyFill="0" applyBorder="0" applyAlignment="0" applyProtection="0"/>
    <xf numFmtId="177" fontId="9" fillId="0" borderId="0" applyFill="0" applyBorder="0" applyAlignment="0" applyProtection="0"/>
    <xf numFmtId="190" fontId="9" fillId="0" borderId="0" applyFill="0" applyBorder="0" applyAlignment="0" applyProtection="0"/>
    <xf numFmtId="167" fontId="60" fillId="0" borderId="0" applyFont="0" applyFill="0" applyBorder="0" applyAlignment="0" applyProtection="0"/>
    <xf numFmtId="0" fontId="8" fillId="0" borderId="0"/>
    <xf numFmtId="9" fontId="60" fillId="0" borderId="0" applyFont="0" applyFill="0" applyBorder="0" applyAlignment="0" applyProtection="0"/>
    <xf numFmtId="0" fontId="21" fillId="13" borderId="0" applyNumberFormat="0" applyBorder="0" applyAlignment="0" applyProtection="0"/>
    <xf numFmtId="0" fontId="21" fillId="16" borderId="0" applyNumberFormat="0" applyBorder="0" applyAlignment="0" applyProtection="0"/>
    <xf numFmtId="0" fontId="22" fillId="73" borderId="0" applyNumberFormat="0" applyBorder="0" applyAlignment="0" applyProtection="0"/>
    <xf numFmtId="0" fontId="22" fillId="10" borderId="0" applyNumberFormat="0" applyBorder="0" applyAlignment="0" applyProtection="0"/>
    <xf numFmtId="0" fontId="22" fillId="7" borderId="0" applyNumberFormat="0" applyBorder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2" fillId="5" borderId="0" applyNumberFormat="0" applyBorder="0" applyAlignment="0" applyProtection="0"/>
    <xf numFmtId="0" fontId="22" fillId="4" borderId="0" applyNumberFormat="0" applyBorder="0" applyAlignment="0" applyProtection="0"/>
    <xf numFmtId="0" fontId="22" fillId="2" borderId="0" applyNumberFormat="0" applyBorder="0" applyAlignment="0" applyProtection="0"/>
    <xf numFmtId="0" fontId="21" fillId="16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31" fillId="28" borderId="35" applyNumberFormat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1" fillId="24" borderId="0" applyNumberFormat="0" applyBorder="0" applyAlignment="0" applyProtection="0"/>
    <xf numFmtId="181" fontId="31" fillId="28" borderId="35" applyNumberFormat="0" applyAlignment="0" applyProtection="0"/>
    <xf numFmtId="0" fontId="77" fillId="73" borderId="33" applyNumberFormat="0" applyAlignment="0" applyProtection="0"/>
    <xf numFmtId="0" fontId="22" fillId="79" borderId="34" applyNumberFormat="0" applyFont="0" applyAlignment="0" applyProtection="0"/>
    <xf numFmtId="0" fontId="27" fillId="7" borderId="33" applyNumberFormat="0" applyAlignment="0" applyProtection="0"/>
    <xf numFmtId="0" fontId="31" fillId="73" borderId="35" applyNumberFormat="0" applyAlignment="0" applyProtection="0"/>
    <xf numFmtId="0" fontId="26" fillId="0" borderId="41" applyNumberFormat="0" applyFill="0" applyAlignment="0" applyProtection="0"/>
    <xf numFmtId="176" fontId="9" fillId="0" borderId="0" applyFont="0" applyFill="0" applyBorder="0" applyAlignment="0" applyProtection="0"/>
    <xf numFmtId="181" fontId="21" fillId="16" borderId="0" applyNumberFormat="0" applyBorder="0" applyAlignment="0" applyProtection="0"/>
    <xf numFmtId="0" fontId="30" fillId="23" borderId="0" applyNumberFormat="0" applyBorder="0" applyAlignment="0" applyProtection="0"/>
    <xf numFmtId="0" fontId="21" fillId="26" borderId="0" applyNumberFormat="0" applyBorder="0" applyAlignment="0" applyProtection="0"/>
    <xf numFmtId="0" fontId="31" fillId="103" borderId="35" applyNumberFormat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181" fontId="24" fillId="28" borderId="33" applyNumberFormat="0" applyAlignment="0" applyProtection="0"/>
    <xf numFmtId="0" fontId="24" fillId="28" borderId="33" applyNumberFormat="0" applyAlignment="0" applyProtection="0"/>
    <xf numFmtId="181" fontId="24" fillId="28" borderId="33" applyNumberForma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181" fontId="27" fillId="27" borderId="33" applyNumberFormat="0" applyAlignment="0" applyProtection="0"/>
    <xf numFmtId="181" fontId="24" fillId="28" borderId="33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31" fillId="28" borderId="35" applyNumberFormat="0" applyAlignment="0" applyProtection="0"/>
    <xf numFmtId="0" fontId="31" fillId="28" borderId="35" applyNumberFormat="0" applyAlignment="0" applyProtection="0"/>
    <xf numFmtId="181" fontId="31" fillId="28" borderId="35" applyNumberFormat="0" applyAlignment="0" applyProtection="0"/>
    <xf numFmtId="0" fontId="80" fillId="74" borderId="0" applyNumberFormat="0" applyBorder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181" fontId="26" fillId="0" borderId="36" applyNumberFormat="0" applyFill="0" applyAlignment="0" applyProtection="0"/>
    <xf numFmtId="0" fontId="77" fillId="73" borderId="33" applyNumberFormat="0" applyAlignment="0" applyProtection="0"/>
    <xf numFmtId="0" fontId="22" fillId="79" borderId="34" applyNumberFormat="0" applyFont="0" applyAlignment="0" applyProtection="0"/>
    <xf numFmtId="0" fontId="27" fillId="7" borderId="33" applyNumberFormat="0" applyAlignment="0" applyProtection="0"/>
    <xf numFmtId="0" fontId="31" fillId="73" borderId="35" applyNumberFormat="0" applyAlignment="0" applyProtection="0"/>
    <xf numFmtId="0" fontId="21" fillId="74" borderId="0" applyNumberFormat="0" applyBorder="0" applyAlignment="0" applyProtection="0"/>
    <xf numFmtId="17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77" fontId="9" fillId="0" borderId="0" applyFill="0" applyBorder="0" applyAlignment="0" applyProtection="0"/>
    <xf numFmtId="166" fontId="9" fillId="0" borderId="0" applyFont="0" applyFill="0" applyBorder="0" applyAlignment="0" applyProtection="0"/>
    <xf numFmtId="0" fontId="34" fillId="0" borderId="6" applyNumberFormat="0" applyFill="0" applyAlignment="0" applyProtection="0"/>
    <xf numFmtId="0" fontId="21" fillId="77" borderId="0" applyNumberFormat="0" applyBorder="0" applyAlignment="0" applyProtection="0"/>
    <xf numFmtId="181" fontId="9" fillId="0" borderId="0"/>
    <xf numFmtId="181" fontId="9" fillId="0" borderId="0"/>
    <xf numFmtId="0" fontId="35" fillId="0" borderId="7" applyNumberFormat="0" applyFill="0" applyAlignment="0" applyProtection="0"/>
    <xf numFmtId="181" fontId="9" fillId="0" borderId="0"/>
    <xf numFmtId="181" fontId="9" fillId="0" borderId="0"/>
    <xf numFmtId="0" fontId="22" fillId="21" borderId="0" applyNumberFormat="0" applyBorder="0" applyAlignment="0" applyProtection="0"/>
    <xf numFmtId="0" fontId="21" fillId="22" borderId="0" applyNumberFormat="0" applyBorder="0" applyAlignment="0" applyProtection="0"/>
    <xf numFmtId="181" fontId="9" fillId="0" borderId="0"/>
    <xf numFmtId="0" fontId="22" fillId="20" borderId="0" applyNumberFormat="0" applyBorder="0" applyAlignment="0" applyProtection="0"/>
    <xf numFmtId="0" fontId="9" fillId="0" borderId="0"/>
    <xf numFmtId="181" fontId="9" fillId="0" borderId="0"/>
    <xf numFmtId="0" fontId="9" fillId="0" borderId="0"/>
    <xf numFmtId="9" fontId="9" fillId="0" borderId="0" applyFill="0" applyBorder="0" applyAlignment="0" applyProtection="0"/>
    <xf numFmtId="181" fontId="26" fillId="0" borderId="36" applyNumberFormat="0" applyFill="0" applyAlignment="0" applyProtection="0"/>
    <xf numFmtId="0" fontId="31" fillId="28" borderId="35" applyNumberForma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7" fillId="27" borderId="33" applyNumberForma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1" fillId="75" borderId="0" applyNumberFormat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74" fontId="9" fillId="0" borderId="0" applyFont="0" applyFill="0" applyBorder="0" applyAlignment="0" applyProtection="0"/>
    <xf numFmtId="181" fontId="21" fillId="16" borderId="0" applyNumberFormat="0" applyBorder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80" fillId="75" borderId="0" applyNumberFormat="0" applyBorder="0" applyAlignment="0" applyProtection="0"/>
    <xf numFmtId="174" fontId="9" fillId="0" borderId="0" applyFont="0" applyFill="0" applyBorder="0" applyAlignment="0" applyProtection="0"/>
    <xf numFmtId="186" fontId="9" fillId="0" borderId="0" applyFill="0" applyBorder="0" applyAlignment="0" applyProtection="0"/>
    <xf numFmtId="174" fontId="9" fillId="0" borderId="0" applyFont="0" applyFill="0" applyBorder="0" applyAlignment="0" applyProtection="0"/>
    <xf numFmtId="0" fontId="21" fillId="19" borderId="0" applyNumberFormat="0" applyBorder="0" applyAlignment="0" applyProtection="0"/>
    <xf numFmtId="186" fontId="9" fillId="0" borderId="0" applyFill="0" applyBorder="0" applyAlignment="0" applyProtection="0"/>
    <xf numFmtId="186" fontId="9" fillId="0" borderId="0" applyFill="0" applyBorder="0" applyAlignment="0" applyProtection="0"/>
    <xf numFmtId="177" fontId="9" fillId="0" borderId="0" applyFill="0" applyBorder="0" applyAlignment="0" applyProtection="0"/>
    <xf numFmtId="164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21" fillId="24" borderId="0" applyNumberFormat="0" applyBorder="0" applyAlignment="0" applyProtection="0"/>
    <xf numFmtId="177" fontId="9" fillId="0" borderId="0" applyFill="0" applyBorder="0" applyAlignment="0" applyProtection="0"/>
    <xf numFmtId="181" fontId="21" fillId="22" borderId="0" applyNumberFormat="0" applyBorder="0" applyAlignment="0" applyProtection="0"/>
    <xf numFmtId="0" fontId="21" fillId="107" borderId="0" applyNumberFormat="0" applyBorder="0" applyAlignment="0" applyProtection="0"/>
    <xf numFmtId="164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33" fillId="0" borderId="5" applyNumberFormat="0" applyFill="0" applyAlignment="0" applyProtection="0"/>
    <xf numFmtId="0" fontId="34" fillId="0" borderId="6" applyNumberFormat="0" applyFill="0" applyAlignment="0" applyProtection="0"/>
    <xf numFmtId="0" fontId="8" fillId="0" borderId="0"/>
    <xf numFmtId="181" fontId="21" fillId="16" borderId="0" applyNumberFormat="0" applyBorder="0" applyAlignment="0" applyProtection="0"/>
    <xf numFmtId="0" fontId="8" fillId="0" borderId="0"/>
    <xf numFmtId="181" fontId="9" fillId="0" borderId="0"/>
    <xf numFmtId="181" fontId="9" fillId="0" borderId="0"/>
    <xf numFmtId="0" fontId="9" fillId="0" borderId="0"/>
    <xf numFmtId="181" fontId="9" fillId="0" borderId="0"/>
    <xf numFmtId="0" fontId="9" fillId="0" borderId="0"/>
    <xf numFmtId="181" fontId="21" fillId="22" borderId="0" applyNumberFormat="0" applyBorder="0" applyAlignment="0" applyProtection="0"/>
    <xf numFmtId="181" fontId="22" fillId="21" borderId="0" applyNumberFormat="0" applyBorder="0" applyAlignment="0" applyProtection="0"/>
    <xf numFmtId="0" fontId="22" fillId="17" borderId="0" applyNumberFormat="0" applyBorder="0" applyAlignment="0" applyProtection="0"/>
    <xf numFmtId="0" fontId="8" fillId="0" borderId="0"/>
    <xf numFmtId="0" fontId="8" fillId="0" borderId="0"/>
    <xf numFmtId="181" fontId="22" fillId="20" borderId="0" applyNumberFormat="0" applyBorder="0" applyAlignment="0" applyProtection="0"/>
    <xf numFmtId="0" fontId="22" fillId="23" borderId="0" applyNumberFormat="0" applyBorder="0" applyAlignment="0" applyProtection="0"/>
    <xf numFmtId="181" fontId="22" fillId="23" borderId="0" applyNumberFormat="0" applyBorder="0" applyAlignment="0" applyProtection="0"/>
    <xf numFmtId="181" fontId="22" fillId="23" borderId="0" applyNumberFormat="0" applyBorder="0" applyAlignment="0" applyProtection="0"/>
    <xf numFmtId="181" fontId="22" fillId="20" borderId="0" applyNumberFormat="0" applyBorder="0" applyAlignment="0" applyProtection="0"/>
    <xf numFmtId="181" fontId="9" fillId="0" borderId="0"/>
    <xf numFmtId="181" fontId="9" fillId="0" borderId="0"/>
    <xf numFmtId="181" fontId="9" fillId="0" borderId="0"/>
    <xf numFmtId="0" fontId="9" fillId="0" borderId="0"/>
    <xf numFmtId="0" fontId="21" fillId="19" borderId="0" applyNumberFormat="0" applyBorder="0" applyAlignment="0" applyProtection="0"/>
    <xf numFmtId="0" fontId="8" fillId="0" borderId="0"/>
    <xf numFmtId="0" fontId="8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81" fontId="22" fillId="21" borderId="0" applyNumberFormat="0" applyBorder="0" applyAlignment="0" applyProtection="0"/>
    <xf numFmtId="0" fontId="22" fillId="20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16" borderId="0" applyNumberFormat="0" applyBorder="0" applyAlignment="0" applyProtection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2" fillId="85" borderId="0" applyNumberFormat="0" applyBorder="0" applyAlignment="0" applyProtection="0"/>
    <xf numFmtId="0" fontId="22" fillId="86" borderId="0" applyNumberFormat="0" applyBorder="0" applyAlignment="0" applyProtection="0"/>
    <xf numFmtId="0" fontId="22" fillId="87" borderId="0" applyNumberFormat="0" applyBorder="0" applyAlignment="0" applyProtection="0"/>
    <xf numFmtId="0" fontId="22" fillId="88" borderId="0" applyNumberFormat="0" applyBorder="0" applyAlignment="0" applyProtection="0"/>
    <xf numFmtId="0" fontId="22" fillId="89" borderId="0" applyNumberFormat="0" applyBorder="0" applyAlignment="0" applyProtection="0"/>
    <xf numFmtId="0" fontId="22" fillId="90" borderId="0" applyNumberFormat="0" applyBorder="0" applyAlignment="0" applyProtection="0"/>
    <xf numFmtId="0" fontId="22" fillId="84" borderId="0" applyNumberFormat="0" applyBorder="0" applyAlignment="0" applyProtection="0"/>
    <xf numFmtId="0" fontId="22" fillId="91" borderId="0" applyNumberFormat="0" applyBorder="0" applyAlignment="0" applyProtection="0"/>
    <xf numFmtId="0" fontId="22" fillId="92" borderId="0" applyNumberFormat="0" applyBorder="0" applyAlignment="0" applyProtection="0"/>
    <xf numFmtId="0" fontId="22" fillId="88" borderId="0" applyNumberFormat="0" applyBorder="0" applyAlignment="0" applyProtection="0"/>
    <xf numFmtId="0" fontId="22" fillId="84" borderId="0" applyNumberFormat="0" applyBorder="0" applyAlignment="0" applyProtection="0"/>
    <xf numFmtId="0" fontId="22" fillId="93" borderId="0" applyNumberFormat="0" applyBorder="0" applyAlignment="0" applyProtection="0"/>
    <xf numFmtId="0" fontId="21" fillId="94" borderId="0" applyNumberFormat="0" applyBorder="0" applyAlignment="0" applyProtection="0"/>
    <xf numFmtId="0" fontId="21" fillId="91" borderId="0" applyNumberFormat="0" applyBorder="0" applyAlignment="0" applyProtection="0"/>
    <xf numFmtId="0" fontId="21" fillId="92" borderId="0" applyNumberFormat="0" applyBorder="0" applyAlignment="0" applyProtection="0"/>
    <xf numFmtId="0" fontId="21" fillId="95" borderId="0" applyNumberFormat="0" applyBorder="0" applyAlignment="0" applyProtection="0"/>
    <xf numFmtId="0" fontId="21" fillId="96" borderId="0" applyNumberFormat="0" applyBorder="0" applyAlignment="0" applyProtection="0"/>
    <xf numFmtId="0" fontId="21" fillId="97" borderId="0" applyNumberFormat="0" applyBorder="0" applyAlignment="0" applyProtection="0"/>
    <xf numFmtId="0" fontId="22" fillId="85" borderId="0" applyNumberFormat="0" applyBorder="0" applyAlignment="0" applyProtection="0"/>
    <xf numFmtId="0" fontId="22" fillId="85" borderId="0" applyNumberFormat="0" applyBorder="0" applyAlignment="0" applyProtection="0"/>
    <xf numFmtId="0" fontId="21" fillId="84" borderId="0" applyNumberFormat="0" applyBorder="0" applyAlignment="0" applyProtection="0"/>
    <xf numFmtId="0" fontId="21" fillId="98" borderId="0" applyNumberFormat="0" applyBorder="0" applyAlignment="0" applyProtection="0"/>
    <xf numFmtId="0" fontId="22" fillId="100" borderId="0" applyNumberFormat="0" applyBorder="0" applyAlignment="0" applyProtection="0"/>
    <xf numFmtId="0" fontId="22" fillId="101" borderId="0" applyNumberFormat="0" applyBorder="0" applyAlignment="0" applyProtection="0"/>
    <xf numFmtId="0" fontId="21" fillId="102" borderId="0" applyNumberFormat="0" applyBorder="0" applyAlignment="0" applyProtection="0"/>
    <xf numFmtId="0" fontId="21" fillId="99" borderId="0" applyNumberFormat="0" applyBorder="0" applyAlignment="0" applyProtection="0"/>
    <xf numFmtId="0" fontId="22" fillId="100" borderId="0" applyNumberFormat="0" applyBorder="0" applyAlignment="0" applyProtection="0"/>
    <xf numFmtId="0" fontId="22" fillId="87" borderId="0" applyNumberFormat="0" applyBorder="0" applyAlignment="0" applyProtection="0"/>
    <xf numFmtId="0" fontId="21" fillId="101" borderId="0" applyNumberFormat="0" applyBorder="0" applyAlignment="0" applyProtection="0"/>
    <xf numFmtId="0" fontId="21" fillId="102" borderId="0" applyNumberFormat="0" applyBorder="0" applyAlignment="0" applyProtection="0"/>
    <xf numFmtId="0" fontId="22" fillId="85" borderId="0" applyNumberFormat="0" applyBorder="0" applyAlignment="0" applyProtection="0"/>
    <xf numFmtId="0" fontId="22" fillId="101" borderId="0" applyNumberFormat="0" applyBorder="0" applyAlignment="0" applyProtection="0"/>
    <xf numFmtId="0" fontId="21" fillId="101" borderId="0" applyNumberFormat="0" applyBorder="0" applyAlignment="0" applyProtection="0"/>
    <xf numFmtId="0" fontId="21" fillId="98" borderId="0" applyNumberFormat="0" applyBorder="0" applyAlignment="0" applyProtection="0"/>
    <xf numFmtId="0" fontId="22" fillId="89" borderId="0" applyNumberFormat="0" applyBorder="0" applyAlignment="0" applyProtection="0"/>
    <xf numFmtId="0" fontId="22" fillId="85" borderId="0" applyNumberFormat="0" applyBorder="0" applyAlignment="0" applyProtection="0"/>
    <xf numFmtId="0" fontId="21" fillId="84" borderId="0" applyNumberFormat="0" applyBorder="0" applyAlignment="0" applyProtection="0"/>
    <xf numFmtId="0" fontId="21" fillId="96" borderId="0" applyNumberFormat="0" applyBorder="0" applyAlignment="0" applyProtection="0"/>
    <xf numFmtId="0" fontId="22" fillId="100" borderId="0" applyNumberFormat="0" applyBorder="0" applyAlignment="0" applyProtection="0"/>
    <xf numFmtId="0" fontId="22" fillId="90" borderId="0" applyNumberFormat="0" applyBorder="0" applyAlignment="0" applyProtection="0"/>
    <xf numFmtId="0" fontId="21" fillId="90" borderId="0" applyNumberFormat="0" applyBorder="0" applyAlignment="0" applyProtection="0"/>
    <xf numFmtId="0" fontId="21" fillId="97" borderId="0" applyNumberFormat="0" applyBorder="0" applyAlignment="0" applyProtection="0"/>
    <xf numFmtId="0" fontId="24" fillId="103" borderId="33" applyNumberFormat="0" applyAlignment="0" applyProtection="0"/>
    <xf numFmtId="0" fontId="9" fillId="100" borderId="34" applyNumberFormat="0" applyAlignment="0" applyProtection="0"/>
    <xf numFmtId="0" fontId="26" fillId="104" borderId="0" applyNumberFormat="0" applyBorder="0" applyAlignment="0" applyProtection="0"/>
    <xf numFmtId="0" fontId="26" fillId="105" borderId="0" applyNumberFormat="0" applyBorder="0" applyAlignment="0" applyProtection="0"/>
    <xf numFmtId="0" fontId="26" fillId="106" borderId="0" applyNumberFormat="0" applyBorder="0" applyAlignment="0" applyProtection="0"/>
    <xf numFmtId="0" fontId="27" fillId="90" borderId="33" applyNumberFormat="0" applyAlignment="0" applyProtection="0"/>
    <xf numFmtId="0" fontId="28" fillId="86" borderId="0" applyNumberFormat="0" applyBorder="0" applyAlignment="0" applyProtection="0"/>
    <xf numFmtId="0" fontId="16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0" fontId="29" fillId="83" borderId="0" applyNumberFormat="0" applyBorder="0" applyAlignment="0" applyProtection="0"/>
    <xf numFmtId="0" fontId="8" fillId="0" borderId="0"/>
    <xf numFmtId="9" fontId="9" fillId="0" borderId="0" applyFill="0" applyBorder="0" applyAlignment="0" applyProtection="0"/>
    <xf numFmtId="9" fontId="8" fillId="0" borderId="0" applyFont="0" applyFill="0" applyBorder="0" applyAlignment="0" applyProtection="0"/>
    <xf numFmtId="0" fontId="30" fillId="87" borderId="0" applyNumberFormat="0" applyBorder="0" applyAlignment="0" applyProtection="0"/>
    <xf numFmtId="0" fontId="31" fillId="103" borderId="35" applyNumberFormat="0" applyAlignment="0" applyProtection="0"/>
    <xf numFmtId="0" fontId="36" fillId="102" borderId="9" applyNumberFormat="0" applyAlignment="0" applyProtection="0"/>
    <xf numFmtId="0" fontId="26" fillId="0" borderId="36" applyNumberFormat="0" applyFill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5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3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2" fillId="25" borderId="0" applyNumberFormat="0" applyBorder="0" applyAlignment="0" applyProtection="0"/>
    <xf numFmtId="0" fontId="22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24" borderId="0" applyNumberFormat="0" applyBorder="0" applyAlignment="0" applyProtection="0"/>
    <xf numFmtId="0" fontId="22" fillId="20" borderId="0" applyNumberFormat="0" applyBorder="0" applyAlignment="0" applyProtection="0"/>
    <xf numFmtId="0" fontId="22" fillId="27" borderId="0" applyNumberFormat="0" applyBorder="0" applyAlignment="0" applyProtection="0"/>
    <xf numFmtId="0" fontId="21" fillId="72" borderId="0" applyNumberFormat="0" applyBorder="0" applyAlignment="0" applyProtection="0"/>
    <xf numFmtId="0" fontId="21" fillId="27" borderId="0" applyNumberFormat="0" applyBorder="0" applyAlignment="0" applyProtection="0"/>
    <xf numFmtId="0" fontId="21" fillId="26" borderId="0" applyNumberFormat="0" applyBorder="0" applyAlignment="0" applyProtection="0"/>
    <xf numFmtId="181" fontId="9" fillId="20" borderId="34" applyNumberFormat="0" applyFont="0" applyAlignment="0" applyProtection="0"/>
    <xf numFmtId="0" fontId="26" fillId="29" borderId="0" applyNumberFormat="0" applyBorder="0" applyAlignment="0" applyProtection="0"/>
    <xf numFmtId="0" fontId="9" fillId="20" borderId="34" applyNumberFormat="0" applyFont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4" fillId="28" borderId="33" applyNumberFormat="0" applyAlignment="0" applyProtection="0"/>
    <xf numFmtId="0" fontId="28" fillId="32" borderId="0" applyNumberFormat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81" fontId="22" fillId="27" borderId="0" applyNumberFormat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17" borderId="0" applyNumberFormat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6" fontId="9" fillId="0" borderId="0" applyFont="0" applyFill="0" applyBorder="0" applyAlignment="0" applyProtection="0"/>
    <xf numFmtId="181" fontId="22" fillId="27" borderId="0" applyNumberFormat="0" applyBorder="0" applyAlignment="0" applyProtection="0"/>
    <xf numFmtId="0" fontId="22" fillId="72" borderId="0" applyNumberFormat="0" applyBorder="0" applyAlignment="0" applyProtection="0"/>
    <xf numFmtId="0" fontId="22" fillId="8" borderId="0" applyNumberFormat="0" applyBorder="0" applyAlignment="0" applyProtection="0"/>
    <xf numFmtId="0" fontId="8" fillId="0" borderId="0"/>
    <xf numFmtId="0" fontId="21" fillId="19" borderId="0" applyNumberFormat="0" applyBorder="0" applyAlignment="0" applyProtection="0"/>
    <xf numFmtId="0" fontId="21" fillId="24" borderId="0" applyNumberFormat="0" applyBorder="0" applyAlignment="0" applyProtection="0"/>
    <xf numFmtId="0" fontId="9" fillId="0" borderId="0"/>
    <xf numFmtId="0" fontId="21" fillId="24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181" fontId="27" fillId="27" borderId="43" applyNumberFormat="0" applyAlignment="0" applyProtection="0"/>
    <xf numFmtId="181" fontId="86" fillId="0" borderId="0" applyNumberFormat="0" applyFill="0" applyBorder="0" applyAlignment="0" applyProtection="0">
      <alignment vertical="top"/>
      <protection locked="0"/>
    </xf>
    <xf numFmtId="181" fontId="9" fillId="0" borderId="0" applyFont="0" applyFill="0" applyBorder="0" applyAlignment="0" applyProtection="0"/>
    <xf numFmtId="181" fontId="9" fillId="20" borderId="34" applyNumberFormat="0" applyFont="0" applyAlignment="0" applyProtection="0"/>
    <xf numFmtId="181" fontId="9" fillId="0" borderId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9" fillId="0" borderId="0"/>
    <xf numFmtId="0" fontId="9" fillId="0" borderId="0"/>
    <xf numFmtId="0" fontId="21" fillId="22" borderId="0" applyNumberFormat="0" applyBorder="0" applyAlignment="0" applyProtection="0"/>
    <xf numFmtId="0" fontId="9" fillId="0" borderId="0"/>
    <xf numFmtId="0" fontId="21" fillId="1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9" fillId="0" borderId="0" applyFont="0" applyFill="0" applyBorder="0" applyAlignment="0" applyProtection="0"/>
    <xf numFmtId="0" fontId="31" fillId="28" borderId="45" applyNumberFormat="0" applyAlignment="0" applyProtection="0"/>
    <xf numFmtId="164" fontId="8" fillId="0" borderId="0" applyFont="0" applyFill="0" applyBorder="0" applyAlignment="0" applyProtection="0"/>
    <xf numFmtId="0" fontId="9" fillId="20" borderId="44" applyNumberFormat="0" applyFont="0" applyAlignment="0" applyProtection="0"/>
    <xf numFmtId="181" fontId="27" fillId="27" borderId="43" applyNumberFormat="0" applyAlignment="0" applyProtection="0"/>
    <xf numFmtId="181" fontId="24" fillId="28" borderId="43" applyNumberFormat="0" applyAlignment="0" applyProtection="0"/>
    <xf numFmtId="0" fontId="27" fillId="7" borderId="43" applyNumberFormat="0" applyAlignment="0" applyProtection="0"/>
    <xf numFmtId="181" fontId="31" fillId="28" borderId="45" applyNumberFormat="0" applyAlignment="0" applyProtection="0"/>
    <xf numFmtId="0" fontId="26" fillId="0" borderId="46" applyNumberFormat="0" applyFill="0" applyAlignment="0" applyProtection="0"/>
    <xf numFmtId="181" fontId="24" fillId="28" borderId="43" applyNumberFormat="0" applyAlignment="0" applyProtection="0"/>
    <xf numFmtId="0" fontId="9" fillId="20" borderId="44" applyNumberFormat="0" applyFont="0" applyAlignment="0" applyProtection="0"/>
    <xf numFmtId="181" fontId="26" fillId="0" borderId="46" applyNumberFormat="0" applyFill="0" applyAlignment="0" applyProtection="0"/>
    <xf numFmtId="0" fontId="26" fillId="0" borderId="47" applyNumberFormat="0" applyFill="0" applyAlignment="0" applyProtection="0"/>
    <xf numFmtId="0" fontId="31" fillId="28" borderId="45" applyNumberFormat="0" applyAlignment="0" applyProtection="0"/>
    <xf numFmtId="181" fontId="31" fillId="28" borderId="45" applyNumberFormat="0" applyAlignment="0" applyProtection="0"/>
    <xf numFmtId="0" fontId="21" fillId="19" borderId="0" applyNumberFormat="0" applyBorder="0" applyAlignment="0" applyProtection="0"/>
    <xf numFmtId="0" fontId="31" fillId="28" borderId="45" applyNumberFormat="0" applyAlignment="0" applyProtection="0"/>
    <xf numFmtId="0" fontId="21" fillId="22" borderId="0" applyNumberFormat="0" applyBorder="0" applyAlignment="0" applyProtection="0"/>
    <xf numFmtId="9" fontId="9" fillId="0" borderId="0" applyFill="0" applyBorder="0" applyAlignment="0" applyProtection="0"/>
    <xf numFmtId="181" fontId="27" fillId="27" borderId="43" applyNumberFormat="0" applyAlignment="0" applyProtection="0"/>
    <xf numFmtId="0" fontId="24" fillId="28" borderId="43" applyNumberFormat="0" applyAlignment="0" applyProtection="0"/>
    <xf numFmtId="0" fontId="9" fillId="20" borderId="44" applyNumberFormat="0" applyFont="0" applyAlignment="0" applyProtection="0"/>
    <xf numFmtId="0" fontId="22" fillId="79" borderId="44" applyNumberFormat="0" applyFont="0" applyAlignment="0" applyProtection="0"/>
    <xf numFmtId="181" fontId="24" fillId="28" borderId="43" applyNumberFormat="0" applyAlignment="0" applyProtection="0"/>
    <xf numFmtId="0" fontId="31" fillId="28" borderId="45" applyNumberFormat="0" applyAlignment="0" applyProtection="0"/>
    <xf numFmtId="181" fontId="21" fillId="26" borderId="0" applyNumberFormat="0" applyBorder="0" applyAlignment="0" applyProtection="0"/>
    <xf numFmtId="181" fontId="21" fillId="24" borderId="0" applyNumberFormat="0" applyBorder="0" applyAlignment="0" applyProtection="0"/>
    <xf numFmtId="181" fontId="21" fillId="16" borderId="0" applyNumberFormat="0" applyBorder="0" applyAlignment="0" applyProtection="0"/>
    <xf numFmtId="181" fontId="21" fillId="22" borderId="0" applyNumberFormat="0" applyBorder="0" applyAlignment="0" applyProtection="0"/>
    <xf numFmtId="181" fontId="21" fillId="19" borderId="0" applyNumberFormat="0" applyBorder="0" applyAlignment="0" applyProtection="0"/>
    <xf numFmtId="0" fontId="9" fillId="0" borderId="0"/>
    <xf numFmtId="0" fontId="63" fillId="67" borderId="0" applyNumberFormat="0" applyBorder="0" applyAlignment="0" applyProtection="0"/>
    <xf numFmtId="0" fontId="9" fillId="0" borderId="0"/>
    <xf numFmtId="181" fontId="21" fillId="16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9" fillId="0" borderId="0"/>
    <xf numFmtId="0" fontId="24" fillId="28" borderId="43" applyNumberForma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21" fillId="14" borderId="0" applyNumberFormat="0" applyBorder="0" applyAlignment="0" applyProtection="0"/>
    <xf numFmtId="0" fontId="22" fillId="74" borderId="0" applyNumberFormat="0" applyBorder="0" applyAlignment="0" applyProtection="0"/>
    <xf numFmtId="0" fontId="9" fillId="0" borderId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9" fillId="0" borderId="0"/>
    <xf numFmtId="0" fontId="9" fillId="0" borderId="0"/>
    <xf numFmtId="0" fontId="21" fillId="2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21" fillId="26" borderId="0" applyNumberFormat="0" applyBorder="0" applyAlignment="0" applyProtection="0"/>
    <xf numFmtId="0" fontId="9" fillId="0" borderId="0"/>
    <xf numFmtId="0" fontId="24" fillId="28" borderId="43" applyNumberFormat="0" applyAlignment="0" applyProtection="0"/>
    <xf numFmtId="0" fontId="8" fillId="0" borderId="0"/>
    <xf numFmtId="181" fontId="31" fillId="28" borderId="45" applyNumberFormat="0" applyAlignment="0" applyProtection="0"/>
    <xf numFmtId="0" fontId="80" fillId="77" borderId="0" applyNumberFormat="0" applyBorder="0" applyAlignment="0" applyProtection="0"/>
    <xf numFmtId="0" fontId="63" fillId="69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107" borderId="0" applyNumberFormat="0" applyBorder="0" applyAlignment="0" applyProtection="0"/>
    <xf numFmtId="0" fontId="21" fillId="74" borderId="0" applyNumberFormat="0" applyBorder="0" applyAlignment="0" applyProtection="0"/>
    <xf numFmtId="0" fontId="22" fillId="72" borderId="0" applyNumberFormat="0" applyBorder="0" applyAlignment="0" applyProtection="0"/>
    <xf numFmtId="0" fontId="9" fillId="0" borderId="0"/>
    <xf numFmtId="0" fontId="9" fillId="0" borderId="0"/>
    <xf numFmtId="0" fontId="63" fillId="70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16" borderId="0" applyNumberFormat="0" applyBorder="0" applyAlignment="0" applyProtection="0"/>
    <xf numFmtId="181" fontId="21" fillId="22" borderId="0" applyNumberFormat="0" applyBorder="0" applyAlignment="0" applyProtection="0"/>
    <xf numFmtId="0" fontId="21" fillId="74" borderId="0" applyNumberFormat="0" applyBorder="0" applyAlignment="0" applyProtection="0"/>
    <xf numFmtId="0" fontId="21" fillId="22" borderId="0" applyNumberFormat="0" applyBorder="0" applyAlignment="0" applyProtection="0"/>
    <xf numFmtId="181" fontId="21" fillId="19" borderId="0" applyNumberFormat="0" applyBorder="0" applyAlignment="0" applyProtection="0"/>
    <xf numFmtId="0" fontId="8" fillId="0" borderId="0"/>
    <xf numFmtId="0" fontId="31" fillId="28" borderId="35" applyNumberFormat="0" applyAlignment="0" applyProtection="0"/>
    <xf numFmtId="181" fontId="21" fillId="22" borderId="0" applyNumberFormat="0" applyBorder="0" applyAlignment="0" applyProtection="0"/>
    <xf numFmtId="181" fontId="27" fillId="27" borderId="43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63" fillId="70" borderId="0" applyNumberFormat="0" applyBorder="0" applyAlignment="0" applyProtection="0"/>
    <xf numFmtId="181" fontId="21" fillId="24" borderId="0" applyNumberFormat="0" applyBorder="0" applyAlignment="0" applyProtection="0"/>
    <xf numFmtId="0" fontId="63" fillId="70" borderId="0" applyNumberFormat="0" applyBorder="0" applyAlignment="0" applyProtection="0"/>
    <xf numFmtId="181" fontId="21" fillId="24" borderId="0" applyNumberFormat="0" applyBorder="0" applyAlignment="0" applyProtection="0"/>
    <xf numFmtId="181" fontId="21" fillId="2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80" fillId="14" borderId="0" applyNumberFormat="0" applyBorder="0" applyAlignment="0" applyProtection="0"/>
    <xf numFmtId="181" fontId="21" fillId="24" borderId="0" applyNumberFormat="0" applyBorder="0" applyAlignment="0" applyProtection="0"/>
    <xf numFmtId="0" fontId="63" fillId="71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63" fillId="71" borderId="0" applyNumberFormat="0" applyBorder="0" applyAlignment="0" applyProtection="0"/>
    <xf numFmtId="181" fontId="21" fillId="26" borderId="0" applyNumberFormat="0" applyBorder="0" applyAlignment="0" applyProtection="0"/>
    <xf numFmtId="0" fontId="63" fillId="71" borderId="0" applyNumberFormat="0" applyBorder="0" applyAlignment="0" applyProtection="0"/>
    <xf numFmtId="181" fontId="21" fillId="26" borderId="0" applyNumberFormat="0" applyBorder="0" applyAlignment="0" applyProtection="0"/>
    <xf numFmtId="181" fontId="21" fillId="26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80" fillId="78" borderId="0" applyNumberFormat="0" applyBorder="0" applyAlignment="0" applyProtection="0"/>
    <xf numFmtId="181" fontId="21" fillId="26" borderId="0" applyNumberFormat="0" applyBorder="0" applyAlignment="0" applyProtection="0"/>
    <xf numFmtId="0" fontId="7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1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72" fillId="63" borderId="27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181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181" fontId="24" fillId="28" borderId="33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24" fillId="28" borderId="33" applyNumberFormat="0" applyAlignment="0" applyProtection="0"/>
    <xf numFmtId="0" fontId="80" fillId="76" borderId="35" applyNumberFormat="0" applyAlignment="0" applyProtection="0"/>
    <xf numFmtId="0" fontId="24" fillId="103" borderId="33" applyNumberFormat="0" applyAlignment="0" applyProtection="0"/>
    <xf numFmtId="0" fontId="80" fillId="76" borderId="35" applyNumberFormat="0" applyAlignment="0" applyProtection="0"/>
    <xf numFmtId="0" fontId="77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80" fillId="76" borderId="35" applyNumberFormat="0" applyAlignment="0" applyProtection="0"/>
    <xf numFmtId="0" fontId="24" fillId="28" borderId="33" applyNumberFormat="0" applyAlignment="0" applyProtection="0"/>
    <xf numFmtId="0" fontId="77" fillId="76" borderId="35" applyNumberFormat="0" applyAlignment="0" applyProtection="0"/>
    <xf numFmtId="0" fontId="77" fillId="76" borderId="35" applyNumberFormat="0" applyAlignment="0" applyProtection="0"/>
    <xf numFmtId="0" fontId="72" fillId="63" borderId="27" applyNumberFormat="0" applyAlignment="0" applyProtection="0"/>
    <xf numFmtId="0" fontId="24" fillId="28" borderId="33" applyNumberFormat="0" applyAlignment="0" applyProtection="0"/>
    <xf numFmtId="0" fontId="77" fillId="73" borderId="33" applyNumberFormat="0" applyAlignment="0" applyProtection="0"/>
    <xf numFmtId="0" fontId="73" fillId="0" borderId="29" applyNumberFormat="0" applyFill="0" applyAlignment="0" applyProtection="0"/>
    <xf numFmtId="0" fontId="78" fillId="0" borderId="2" applyNumberFormat="0" applyFill="0" applyAlignment="0" applyProtection="0"/>
    <xf numFmtId="181" fontId="25" fillId="0" borderId="2" applyNumberFormat="0" applyFill="0" applyAlignment="0" applyProtection="0"/>
    <xf numFmtId="0" fontId="78" fillId="0" borderId="2" applyNumberFormat="0" applyFill="0" applyAlignment="0" applyProtection="0"/>
    <xf numFmtId="0" fontId="78" fillId="0" borderId="2" applyNumberFormat="0" applyFill="0" applyAlignment="0" applyProtection="0"/>
    <xf numFmtId="0" fontId="31" fillId="73" borderId="35" applyNumberFormat="0" applyAlignment="0" applyProtection="0"/>
    <xf numFmtId="0" fontId="73" fillId="0" borderId="29" applyNumberFormat="0" applyFill="0" applyAlignment="0" applyProtection="0"/>
    <xf numFmtId="0" fontId="25" fillId="0" borderId="2" applyNumberFormat="0" applyFill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22" fillId="79" borderId="34" applyNumberFormat="0" applyFont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181" fontId="21" fillId="16" borderId="0" applyNumberFormat="0" applyBorder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181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100" borderId="34" applyNumberForma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15" fillId="79" borderId="37" applyNumberFormat="0" applyFont="0" applyAlignment="0" applyProtection="0"/>
    <xf numFmtId="0" fontId="15" fillId="79" borderId="37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181" fontId="21" fillId="26" borderId="0" applyNumberFormat="0" applyBorder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181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9" fillId="20" borderId="34" applyNumberFormat="0" applyFont="0" applyAlignment="0" applyProtection="0"/>
    <xf numFmtId="0" fontId="70" fillId="62" borderId="27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181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181" fontId="27" fillId="27" borderId="33" applyNumberFormat="0" applyAlignment="0" applyProtection="0"/>
    <xf numFmtId="0" fontId="80" fillId="11" borderId="35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80" fillId="11" borderId="35" applyNumberFormat="0" applyAlignment="0" applyProtection="0"/>
    <xf numFmtId="0" fontId="80" fillId="11" borderId="35" applyNumberFormat="0" applyAlignment="0" applyProtection="0"/>
    <xf numFmtId="0" fontId="27" fillId="90" borderId="33" applyNumberFormat="0" applyAlignment="0" applyProtection="0"/>
    <xf numFmtId="0" fontId="27" fillId="11" borderId="35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80" fillId="11" borderId="35" applyNumberFormat="0" applyAlignment="0" applyProtection="0"/>
    <xf numFmtId="0" fontId="27" fillId="27" borderId="33" applyNumberFormat="0" applyAlignment="0" applyProtection="0"/>
    <xf numFmtId="0" fontId="27" fillId="27" borderId="33" applyNumberFormat="0" applyAlignment="0" applyProtection="0"/>
    <xf numFmtId="0" fontId="27" fillId="11" borderId="35" applyNumberFormat="0" applyAlignment="0" applyProtection="0"/>
    <xf numFmtId="0" fontId="27" fillId="11" borderId="35" applyNumberFormat="0" applyAlignment="0" applyProtection="0"/>
    <xf numFmtId="0" fontId="70" fillId="62" borderId="27" applyNumberFormat="0" applyAlignment="0" applyProtection="0"/>
    <xf numFmtId="0" fontId="27" fillId="27" borderId="33" applyNumberFormat="0" applyAlignment="0" applyProtection="0"/>
    <xf numFmtId="0" fontId="27" fillId="7" borderId="33" applyNumberFormat="0" applyAlignment="0" applyProtection="0"/>
    <xf numFmtId="174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0" fontId="31" fillId="28" borderId="45" applyNumberFormat="0" applyAlignment="0" applyProtection="0"/>
    <xf numFmtId="181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87" fontId="80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7" fillId="27" borderId="43" applyNumberFormat="0" applyAlignment="0" applyProtection="0"/>
    <xf numFmtId="187" fontId="80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27" fillId="27" borderId="43" applyNumberFormat="0" applyAlignment="0" applyProtection="0"/>
    <xf numFmtId="0" fontId="9" fillId="20" borderId="44" applyNumberFormat="0" applyFont="0" applyAlignment="0" applyProtection="0"/>
    <xf numFmtId="186" fontId="9" fillId="0" borderId="0" applyFill="0" applyBorder="0" applyAlignment="0" applyProtection="0"/>
    <xf numFmtId="181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86" fontId="9" fillId="0" borderId="0" applyFill="0" applyBorder="0" applyAlignment="0" applyProtection="0"/>
    <xf numFmtId="174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186" fontId="9" fillId="0" borderId="0" applyFill="0" applyBorder="0" applyAlignment="0" applyProtection="0"/>
    <xf numFmtId="174" fontId="9" fillId="0" borderId="0" applyFont="0" applyFill="0" applyBorder="0" applyAlignment="0" applyProtection="0"/>
    <xf numFmtId="0" fontId="31" fillId="28" borderId="45" applyNumberFormat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68" fillId="60" borderId="0" applyNumberFormat="0" applyBorder="0" applyAlignment="0" applyProtection="0"/>
    <xf numFmtId="0" fontId="79" fillId="80" borderId="0" applyNumberFormat="0" applyBorder="0" applyAlignment="0" applyProtection="0"/>
    <xf numFmtId="181" fontId="28" fillId="32" borderId="0" applyNumberFormat="0" applyBorder="0" applyAlignment="0" applyProtection="0"/>
    <xf numFmtId="0" fontId="79" fillId="80" borderId="0" applyNumberFormat="0" applyBorder="0" applyAlignment="0" applyProtection="0"/>
    <xf numFmtId="0" fontId="79" fillId="80" borderId="0" applyNumberFormat="0" applyBorder="0" applyAlignment="0" applyProtection="0"/>
    <xf numFmtId="9" fontId="9" fillId="0" borderId="0" applyFont="0" applyFill="0" applyBorder="0" applyAlignment="0" applyProtection="0"/>
    <xf numFmtId="0" fontId="21" fillId="24" borderId="0" applyNumberFormat="0" applyBorder="0" applyAlignment="0" applyProtection="0"/>
    <xf numFmtId="181" fontId="26" fillId="0" borderId="46" applyNumberFormat="0" applyFill="0" applyAlignment="0" applyProtection="0"/>
    <xf numFmtId="0" fontId="68" fillId="60" borderId="0" applyNumberFormat="0" applyBorder="0" applyAlignment="0" applyProtection="0"/>
    <xf numFmtId="0" fontId="28" fillId="32" borderId="0" applyNumberFormat="0" applyBorder="0" applyAlignment="0" applyProtection="0"/>
    <xf numFmtId="181" fontId="16" fillId="0" borderId="0" applyNumberFormat="0" applyFill="0" applyBorder="0" applyAlignment="0" applyProtection="0">
      <alignment vertical="top"/>
      <protection locked="0"/>
    </xf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9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71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77" fontId="9" fillId="0" borderId="0" applyFill="0" applyBorder="0" applyAlignment="0" applyProtection="0"/>
    <xf numFmtId="167" fontId="9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77" fontId="9" fillId="0" borderId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69" fillId="61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181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29" fillId="33" borderId="0" applyNumberFormat="0" applyBorder="0" applyAlignment="0" applyProtection="0"/>
    <xf numFmtId="0" fontId="83" fillId="81" borderId="0" applyNumberFormat="0" applyBorder="0" applyAlignment="0" applyProtection="0"/>
    <xf numFmtId="0" fontId="83" fillId="81" borderId="0" applyNumberFormat="0" applyBorder="0" applyAlignment="0" applyProtection="0"/>
    <xf numFmtId="0" fontId="69" fillId="61" borderId="0" applyNumberFormat="0" applyBorder="0" applyAlignment="0" applyProtection="0"/>
    <xf numFmtId="0" fontId="29" fillId="33" borderId="0" applyNumberFormat="0" applyBorder="0" applyAlignment="0" applyProtection="0"/>
    <xf numFmtId="0" fontId="9" fillId="20" borderId="44" applyNumberFormat="0" applyFont="0" applyAlignment="0" applyProtection="0"/>
    <xf numFmtId="181" fontId="24" fillId="28" borderId="43" applyNumberFormat="0" applyAlignment="0" applyProtection="0"/>
    <xf numFmtId="181" fontId="24" fillId="28" borderId="43" applyNumberForma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8" fillId="0" borderId="0"/>
    <xf numFmtId="0" fontId="9" fillId="20" borderId="44" applyNumberFormat="0" applyFont="0" applyAlignment="0" applyProtection="0"/>
    <xf numFmtId="0" fontId="9" fillId="0" borderId="0"/>
    <xf numFmtId="0" fontId="27" fillId="27" borderId="43" applyNumberFormat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0" fontId="8" fillId="0" borderId="0"/>
    <xf numFmtId="0" fontId="9" fillId="0" borderId="0"/>
    <xf numFmtId="0" fontId="9" fillId="0" borderId="0"/>
    <xf numFmtId="181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46" applyNumberFormat="0" applyFill="0" applyAlignment="0" applyProtection="0"/>
    <xf numFmtId="181" fontId="9" fillId="0" borderId="0"/>
    <xf numFmtId="0" fontId="8" fillId="0" borderId="0"/>
    <xf numFmtId="181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181" fontId="26" fillId="0" borderId="46" applyNumberFormat="0" applyFill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181" fontId="31" fillId="28" borderId="45" applyNumberFormat="0" applyAlignment="0" applyProtection="0"/>
    <xf numFmtId="181" fontId="31" fillId="28" borderId="45" applyNumberFormat="0" applyAlignment="0" applyProtection="0"/>
    <xf numFmtId="0" fontId="26" fillId="0" borderId="46" applyNumberFormat="0" applyFill="0" applyAlignment="0" applyProtection="0"/>
    <xf numFmtId="181" fontId="26" fillId="0" borderId="46" applyNumberFormat="0" applyFill="0" applyAlignment="0" applyProtection="0"/>
    <xf numFmtId="181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164" fontId="8" fillId="0" borderId="0" applyFont="0" applyFill="0" applyBorder="0" applyAlignment="0" applyProtection="0"/>
    <xf numFmtId="0" fontId="31" fillId="73" borderId="45" applyNumberFormat="0" applyAlignment="0" applyProtection="0"/>
    <xf numFmtId="0" fontId="8" fillId="0" borderId="0"/>
    <xf numFmtId="0" fontId="8" fillId="0" borderId="0"/>
    <xf numFmtId="181" fontId="9" fillId="0" borderId="0"/>
    <xf numFmtId="0" fontId="26" fillId="0" borderId="46" applyNumberFormat="0" applyFill="0" applyAlignment="0" applyProtection="0"/>
    <xf numFmtId="0" fontId="8" fillId="0" borderId="0"/>
    <xf numFmtId="181" fontId="24" fillId="28" borderId="43" applyNumberFormat="0" applyAlignment="0" applyProtection="0"/>
    <xf numFmtId="0" fontId="9" fillId="20" borderId="44" applyNumberFormat="0" applyFont="0" applyAlignment="0" applyProtection="0"/>
    <xf numFmtId="181" fontId="31" fillId="28" borderId="45" applyNumberFormat="0" applyAlignment="0" applyProtection="0"/>
    <xf numFmtId="0" fontId="27" fillId="27" borderId="43" applyNumberForma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31" fillId="28" borderId="45" applyNumberFormat="0" applyAlignment="0" applyProtection="0"/>
    <xf numFmtId="0" fontId="26" fillId="0" borderId="46" applyNumberFormat="0" applyFill="0" applyAlignment="0" applyProtection="0"/>
    <xf numFmtId="0" fontId="31" fillId="28" borderId="45" applyNumberFormat="0" applyAlignment="0" applyProtection="0"/>
    <xf numFmtId="181" fontId="21" fillId="16" borderId="0" applyNumberFormat="0" applyBorder="0" applyAlignment="0" applyProtection="0"/>
    <xf numFmtId="181" fontId="9" fillId="20" borderId="44" applyNumberFormat="0" applyFont="0" applyAlignment="0" applyProtection="0"/>
    <xf numFmtId="0" fontId="9" fillId="0" borderId="0"/>
    <xf numFmtId="181" fontId="26" fillId="0" borderId="46" applyNumberFormat="0" applyFill="0" applyAlignment="0" applyProtection="0"/>
    <xf numFmtId="0" fontId="9" fillId="0" borderId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6" fillId="0" borderId="46" applyNumberFormat="0" applyFill="0" applyAlignment="0" applyProtection="0"/>
    <xf numFmtId="181" fontId="26" fillId="0" borderId="46" applyNumberFormat="0" applyFill="0" applyAlignment="0" applyProtection="0"/>
    <xf numFmtId="0" fontId="9" fillId="0" borderId="0"/>
    <xf numFmtId="0" fontId="24" fillId="28" borderId="43" applyNumberFormat="0" applyAlignment="0" applyProtection="0"/>
    <xf numFmtId="0" fontId="24" fillId="28" borderId="43" applyNumberFormat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0" fontId="8" fillId="0" borderId="0"/>
    <xf numFmtId="181" fontId="31" fillId="28" borderId="45" applyNumberFormat="0" applyAlignment="0" applyProtection="0"/>
    <xf numFmtId="0" fontId="9" fillId="0" borderId="0"/>
    <xf numFmtId="9" fontId="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ill="0" applyBorder="0" applyAlignment="0" applyProtection="0"/>
    <xf numFmtId="9" fontId="9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67" fillId="59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181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30" fillId="23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67" fillId="59" borderId="0" applyNumberFormat="0" applyBorder="0" applyAlignment="0" applyProtection="0"/>
    <xf numFmtId="0" fontId="30" fillId="23" borderId="0" applyNumberFormat="0" applyBorder="0" applyAlignment="0" applyProtection="0"/>
    <xf numFmtId="0" fontId="71" fillId="63" borderId="28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181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181" fontId="31" fillId="28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80" fillId="76" borderId="35" applyNumberFormat="0" applyAlignment="0" applyProtection="0"/>
    <xf numFmtId="0" fontId="80" fillId="76" borderId="35" applyNumberFormat="0" applyAlignment="0" applyProtection="0"/>
    <xf numFmtId="0" fontId="31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80" fillId="76" borderId="35" applyNumberFormat="0" applyAlignment="0" applyProtection="0"/>
    <xf numFmtId="0" fontId="31" fillId="28" borderId="35" applyNumberFormat="0" applyAlignment="0" applyProtection="0"/>
    <xf numFmtId="0" fontId="31" fillId="76" borderId="35" applyNumberFormat="0" applyAlignment="0" applyProtection="0"/>
    <xf numFmtId="0" fontId="31" fillId="76" borderId="35" applyNumberFormat="0" applyAlignment="0" applyProtection="0"/>
    <xf numFmtId="0" fontId="71" fillId="63" borderId="28" applyNumberFormat="0" applyAlignment="0" applyProtection="0"/>
    <xf numFmtId="0" fontId="31" fillId="28" borderId="35" applyNumberFormat="0" applyAlignment="0" applyProtection="0"/>
    <xf numFmtId="0" fontId="84" fillId="0" borderId="0" applyNumberFormat="0" applyFill="0" applyBorder="0" applyAlignment="0" applyProtection="0"/>
    <xf numFmtId="181" fontId="5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1" fillId="26" borderId="0" applyNumberFormat="0" applyBorder="0" applyAlignment="0" applyProtection="0"/>
    <xf numFmtId="0" fontId="64" fillId="0" borderId="24" applyNumberFormat="0" applyFill="0" applyAlignment="0" applyProtection="0"/>
    <xf numFmtId="0" fontId="33" fillId="0" borderId="38" applyNumberFormat="0" applyFill="0" applyAlignment="0" applyProtection="0"/>
    <xf numFmtId="181" fontId="33" fillId="0" borderId="5" applyNumberFormat="0" applyFill="0" applyAlignment="0" applyProtection="0"/>
    <xf numFmtId="0" fontId="21" fillId="24" borderId="0" applyNumberFormat="0" applyBorder="0" applyAlignment="0" applyProtection="0"/>
    <xf numFmtId="0" fontId="33" fillId="0" borderId="38" applyNumberFormat="0" applyFill="0" applyAlignment="0" applyProtection="0"/>
    <xf numFmtId="181" fontId="24" fillId="28" borderId="43" applyNumberFormat="0" applyAlignment="0" applyProtection="0"/>
    <xf numFmtId="0" fontId="33" fillId="0" borderId="38" applyNumberFormat="0" applyFill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27" fillId="27" borderId="43" applyNumberFormat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181" fontId="27" fillId="27" borderId="43" applyNumberFormat="0" applyAlignment="0" applyProtection="0"/>
    <xf numFmtId="0" fontId="64" fillId="0" borderId="24" applyNumberFormat="0" applyFill="0" applyAlignment="0" applyProtection="0"/>
    <xf numFmtId="0" fontId="33" fillId="0" borderId="5" applyNumberFormat="0" applyFill="0" applyAlignment="0" applyProtection="0"/>
    <xf numFmtId="0" fontId="65" fillId="0" borderId="25" applyNumberFormat="0" applyFill="0" applyAlignment="0" applyProtection="0"/>
    <xf numFmtId="0" fontId="34" fillId="0" borderId="39" applyNumberFormat="0" applyFill="0" applyAlignment="0" applyProtection="0"/>
    <xf numFmtId="181" fontId="34" fillId="0" borderId="6" applyNumberFormat="0" applyFill="0" applyAlignment="0" applyProtection="0"/>
    <xf numFmtId="0" fontId="21" fillId="16" borderId="0" applyNumberFormat="0" applyBorder="0" applyAlignment="0" applyProtection="0"/>
    <xf numFmtId="0" fontId="34" fillId="0" borderId="39" applyNumberFormat="0" applyFill="0" applyAlignment="0" applyProtection="0"/>
    <xf numFmtId="0" fontId="34" fillId="0" borderId="39" applyNumberFormat="0" applyFill="0" applyAlignment="0" applyProtection="0"/>
    <xf numFmtId="0" fontId="65" fillId="0" borderId="25" applyNumberFormat="0" applyFill="0" applyAlignment="0" applyProtection="0"/>
    <xf numFmtId="0" fontId="34" fillId="0" borderId="6" applyNumberFormat="0" applyFill="0" applyAlignment="0" applyProtection="0"/>
    <xf numFmtId="0" fontId="66" fillId="0" borderId="26" applyNumberFormat="0" applyFill="0" applyAlignment="0" applyProtection="0"/>
    <xf numFmtId="0" fontId="35" fillId="0" borderId="40" applyNumberFormat="0" applyFill="0" applyAlignment="0" applyProtection="0"/>
    <xf numFmtId="181" fontId="35" fillId="0" borderId="7" applyNumberFormat="0" applyFill="0" applyAlignment="0" applyProtection="0"/>
    <xf numFmtId="167" fontId="9" fillId="0" borderId="0" applyFont="0" applyFill="0" applyBorder="0" applyAlignment="0" applyProtection="0"/>
    <xf numFmtId="0" fontId="35" fillId="0" borderId="40" applyNumberFormat="0" applyFill="0" applyAlignment="0" applyProtection="0"/>
    <xf numFmtId="181" fontId="9" fillId="20" borderId="44" applyNumberFormat="0" applyFont="0" applyAlignment="0" applyProtection="0"/>
    <xf numFmtId="0" fontId="31" fillId="28" borderId="45" applyNumberFormat="0" applyAlignment="0" applyProtection="0"/>
    <xf numFmtId="0" fontId="35" fillId="0" borderId="40" applyNumberFormat="0" applyFill="0" applyAlignment="0" applyProtection="0"/>
    <xf numFmtId="0" fontId="66" fillId="0" borderId="26" applyNumberFormat="0" applyFill="0" applyAlignment="0" applyProtection="0"/>
    <xf numFmtId="0" fontId="35" fillId="0" borderId="7" applyNumberFormat="0" applyFill="0" applyAlignment="0" applyProtection="0"/>
    <xf numFmtId="0" fontId="66" fillId="0" borderId="0" applyNumberFormat="0" applyFill="0" applyBorder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26" fillId="0" borderId="46" applyNumberFormat="0" applyFill="0" applyAlignment="0" applyProtection="0"/>
    <xf numFmtId="0" fontId="6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9" fillId="0" borderId="32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181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181" fontId="26" fillId="0" borderId="36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80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80" fillId="0" borderId="41" applyNumberFormat="0" applyFill="0" applyAlignment="0" applyProtection="0"/>
    <xf numFmtId="0" fontId="26" fillId="0" borderId="36" applyNumberFormat="0" applyFill="0" applyAlignment="0" applyProtection="0"/>
    <xf numFmtId="0" fontId="26" fillId="0" borderId="36" applyNumberFormat="0" applyFill="0" applyAlignment="0" applyProtection="0"/>
    <xf numFmtId="0" fontId="26" fillId="0" borderId="41" applyNumberFormat="0" applyFill="0" applyAlignment="0" applyProtection="0"/>
    <xf numFmtId="0" fontId="26" fillId="0" borderId="41" applyNumberFormat="0" applyFill="0" applyAlignment="0" applyProtection="0"/>
    <xf numFmtId="0" fontId="59" fillId="0" borderId="32" applyNumberFormat="0" applyFill="0" applyAlignment="0" applyProtection="0"/>
    <xf numFmtId="0" fontId="26" fillId="0" borderId="36" applyNumberFormat="0" applyFill="0" applyAlignment="0" applyProtection="0"/>
    <xf numFmtId="0" fontId="77" fillId="73" borderId="43" applyNumberFormat="0" applyAlignment="0" applyProtection="0"/>
    <xf numFmtId="0" fontId="26" fillId="0" borderId="41" applyNumberFormat="0" applyFill="0" applyAlignment="0" applyProtection="0"/>
    <xf numFmtId="0" fontId="74" fillId="64" borderId="30" applyNumberFormat="0" applyAlignment="0" applyProtection="0"/>
    <xf numFmtId="0" fontId="36" fillId="82" borderId="9" applyNumberFormat="0" applyAlignment="0" applyProtection="0"/>
    <xf numFmtId="0" fontId="36" fillId="82" borderId="9" applyNumberFormat="0" applyAlignment="0" applyProtection="0"/>
    <xf numFmtId="181" fontId="36" fillId="22" borderId="9" applyNumberFormat="0" applyAlignment="0" applyProtection="0"/>
    <xf numFmtId="0" fontId="21" fillId="16" borderId="0" applyNumberFormat="0" applyBorder="0" applyAlignment="0" applyProtection="0"/>
    <xf numFmtId="0" fontId="36" fillId="82" borderId="9" applyNumberFormat="0" applyAlignment="0" applyProtection="0"/>
    <xf numFmtId="0" fontId="36" fillId="22" borderId="9" applyNumberFormat="0" applyAlignment="0" applyProtection="0"/>
    <xf numFmtId="0" fontId="36" fillId="82" borderId="9" applyNumberFormat="0" applyAlignment="0" applyProtection="0"/>
    <xf numFmtId="0" fontId="8" fillId="0" borderId="0"/>
    <xf numFmtId="0" fontId="36" fillId="82" borderId="9" applyNumberFormat="0" applyAlignment="0" applyProtection="0"/>
    <xf numFmtId="0" fontId="8" fillId="0" borderId="0"/>
    <xf numFmtId="0" fontId="31" fillId="28" borderId="45" applyNumberFormat="0" applyAlignment="0" applyProtection="0"/>
    <xf numFmtId="0" fontId="8" fillId="0" borderId="0"/>
    <xf numFmtId="0" fontId="74" fillId="64" borderId="30" applyNumberFormat="0" applyAlignment="0" applyProtection="0"/>
    <xf numFmtId="0" fontId="36" fillId="22" borderId="9" applyNumberFormat="0" applyAlignment="0" applyProtection="0"/>
    <xf numFmtId="0" fontId="8" fillId="0" borderId="0"/>
    <xf numFmtId="0" fontId="9" fillId="0" borderId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2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27" fillId="27" borderId="43" applyNumberFormat="0" applyAlignment="0" applyProtection="0"/>
    <xf numFmtId="0" fontId="9" fillId="20" borderId="44" applyNumberFormat="0" applyFont="0" applyAlignment="0" applyProtection="0"/>
    <xf numFmtId="181" fontId="26" fillId="0" borderId="46" applyNumberFormat="0" applyFill="0" applyAlignment="0" applyProtection="0"/>
    <xf numFmtId="181" fontId="31" fillId="28" borderId="45" applyNumberFormat="0" applyAlignment="0" applyProtection="0"/>
    <xf numFmtId="181" fontId="9" fillId="20" borderId="44" applyNumberFormat="0" applyFont="0" applyAlignment="0" applyProtection="0"/>
    <xf numFmtId="181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4" borderId="0" applyNumberFormat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4" fillId="28" borderId="43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21" fillId="22" borderId="0" applyNumberFormat="0" applyBorder="0" applyAlignment="0" applyProtection="0"/>
    <xf numFmtId="0" fontId="9" fillId="0" borderId="0"/>
    <xf numFmtId="0" fontId="8" fillId="0" borderId="0"/>
    <xf numFmtId="0" fontId="8" fillId="0" borderId="0"/>
    <xf numFmtId="0" fontId="21" fillId="26" borderId="0" applyNumberFormat="0" applyBorder="0" applyAlignment="0" applyProtection="0"/>
    <xf numFmtId="0" fontId="21" fillId="16" borderId="0" applyNumberFormat="0" applyBorder="0" applyAlignment="0" applyProtection="0"/>
    <xf numFmtId="0" fontId="9" fillId="0" borderId="0"/>
    <xf numFmtId="0" fontId="21" fillId="16" borderId="0" applyNumberFormat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6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9" fontId="9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0" borderId="4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16" borderId="0" applyNumberFormat="0" applyBorder="0" applyAlignment="0" applyProtection="0"/>
    <xf numFmtId="0" fontId="21" fillId="22" borderId="0" applyNumberFormat="0" applyBorder="0" applyAlignment="0" applyProtection="0"/>
    <xf numFmtId="0" fontId="24" fillId="103" borderId="43" applyNumberFormat="0" applyAlignment="0" applyProtection="0"/>
    <xf numFmtId="0" fontId="9" fillId="100" borderId="44" applyNumberFormat="0" applyAlignment="0" applyProtection="0"/>
    <xf numFmtId="0" fontId="27" fillId="90" borderId="43" applyNumberFormat="0" applyAlignment="0" applyProtection="0"/>
    <xf numFmtId="181" fontId="9" fillId="0" borderId="0" applyFont="0" applyFill="0" applyBorder="0" applyAlignment="0" applyProtection="0"/>
    <xf numFmtId="0" fontId="31" fillId="103" borderId="45" applyNumberFormat="0" applyAlignment="0" applyProtection="0"/>
    <xf numFmtId="0" fontId="24" fillId="28" borderId="43" applyNumberFormat="0" applyAlignment="0" applyProtection="0"/>
    <xf numFmtId="0" fontId="27" fillId="27" borderId="43" applyNumberFormat="0" applyAlignment="0" applyProtection="0"/>
    <xf numFmtId="186" fontId="9" fillId="0" borderId="0" applyFill="0" applyBorder="0" applyAlignment="0" applyProtection="0"/>
    <xf numFmtId="167" fontId="9" fillId="0" borderId="0" applyFont="0" applyFill="0" applyBorder="0" applyAlignment="0" applyProtection="0"/>
    <xf numFmtId="0" fontId="26" fillId="0" borderId="46" applyNumberFormat="0" applyFill="0" applyAlignment="0" applyProtection="0"/>
    <xf numFmtId="0" fontId="31" fillId="28" borderId="45" applyNumberFormat="0" applyAlignment="0" applyProtection="0"/>
    <xf numFmtId="171" fontId="9" fillId="0" borderId="0" applyFont="0" applyFill="0" applyBorder="0" applyAlignment="0" applyProtection="0"/>
    <xf numFmtId="0" fontId="9" fillId="0" borderId="0"/>
    <xf numFmtId="181" fontId="9" fillId="0" borderId="0"/>
    <xf numFmtId="0" fontId="9" fillId="0" borderId="0"/>
    <xf numFmtId="167" fontId="9" fillId="0" borderId="0" applyFont="0" applyFill="0" applyBorder="0" applyAlignment="0" applyProtection="0"/>
    <xf numFmtId="177" fontId="9" fillId="0" borderId="0" applyFill="0" applyBorder="0" applyAlignment="0" applyProtection="0"/>
    <xf numFmtId="0" fontId="26" fillId="0" borderId="46" applyNumberFormat="0" applyFill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31" fillId="28" borderId="45" applyNumberFormat="0" applyAlignment="0" applyProtection="0"/>
    <xf numFmtId="0" fontId="21" fillId="16" borderId="0" applyNumberFormat="0" applyBorder="0" applyAlignment="0" applyProtection="0"/>
    <xf numFmtId="0" fontId="26" fillId="0" borderId="46" applyNumberFormat="0" applyFill="0" applyAlignment="0" applyProtection="0"/>
    <xf numFmtId="0" fontId="27" fillId="27" borderId="43" applyNumberFormat="0" applyAlignment="0" applyProtection="0"/>
    <xf numFmtId="0" fontId="21" fillId="26" borderId="0" applyNumberFormat="0" applyBorder="0" applyAlignment="0" applyProtection="0"/>
    <xf numFmtId="181" fontId="9" fillId="0" borderId="0"/>
    <xf numFmtId="186" fontId="9" fillId="0" borderId="0" applyFill="0" applyBorder="0" applyAlignment="0" applyProtection="0"/>
    <xf numFmtId="0" fontId="26" fillId="0" borderId="46" applyNumberFormat="0" applyFill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185" fontId="9" fillId="0" borderId="0" applyFont="0" applyFill="0" applyBorder="0" applyAlignment="0" applyProtection="0"/>
    <xf numFmtId="0" fontId="9" fillId="0" borderId="0"/>
    <xf numFmtId="0" fontId="9" fillId="0" borderId="0"/>
    <xf numFmtId="167" fontId="9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6" fillId="0" borderId="46" applyNumberFormat="0" applyFill="0" applyAlignment="0" applyProtection="0"/>
    <xf numFmtId="0" fontId="24" fillId="28" borderId="43" applyNumberFormat="0" applyAlignment="0" applyProtection="0"/>
    <xf numFmtId="0" fontId="31" fillId="28" borderId="45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181" fontId="24" fillId="28" borderId="43" applyNumberFormat="0" applyAlignment="0" applyProtection="0"/>
    <xf numFmtId="0" fontId="24" fillId="28" borderId="43" applyNumberFormat="0" applyAlignment="0" applyProtection="0"/>
    <xf numFmtId="0" fontId="24" fillId="28" borderId="43" applyNumberFormat="0" applyAlignment="0" applyProtection="0"/>
    <xf numFmtId="0" fontId="24" fillId="28" borderId="43" applyNumberFormat="0" applyAlignment="0" applyProtection="0"/>
    <xf numFmtId="0" fontId="24" fillId="28" borderId="43" applyNumberFormat="0" applyAlignment="0" applyProtection="0"/>
    <xf numFmtId="0" fontId="24" fillId="28" borderId="43" applyNumberFormat="0" applyAlignment="0" applyProtection="0"/>
    <xf numFmtId="181" fontId="24" fillId="28" borderId="43" applyNumberForma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181" fontId="27" fillId="27" borderId="43" applyNumberFormat="0" applyAlignment="0" applyProtection="0"/>
    <xf numFmtId="9" fontId="8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8" fillId="42" borderId="0" applyNumberFormat="0" applyBorder="0" applyAlignment="0" applyProtection="0"/>
    <xf numFmtId="0" fontId="63" fillId="43" borderId="0" applyNumberFormat="0" applyBorder="0" applyAlignment="0" applyProtection="0"/>
    <xf numFmtId="0" fontId="8" fillId="45" borderId="0" applyNumberFormat="0" applyBorder="0" applyAlignment="0" applyProtection="0"/>
    <xf numFmtId="0" fontId="63" fillId="46" borderId="0" applyNumberFormat="0" applyBorder="0" applyAlignment="0" applyProtection="0"/>
    <xf numFmtId="0" fontId="8" fillId="51" borderId="0" applyNumberFormat="0" applyBorder="0" applyAlignment="0" applyProtection="0"/>
    <xf numFmtId="0" fontId="8" fillId="53" borderId="0" applyNumberFormat="0" applyBorder="0" applyAlignment="0" applyProtection="0"/>
    <xf numFmtId="0" fontId="8" fillId="54" borderId="0" applyNumberFormat="0" applyBorder="0" applyAlignment="0" applyProtection="0"/>
    <xf numFmtId="0" fontId="63" fillId="55" borderId="0" applyNumberFormat="0" applyBorder="0" applyAlignment="0" applyProtection="0"/>
    <xf numFmtId="0" fontId="8" fillId="56" borderId="0" applyNumberFormat="0" applyBorder="0" applyAlignment="0" applyProtection="0"/>
    <xf numFmtId="0" fontId="8" fillId="57" borderId="0" applyNumberFormat="0" applyBorder="0" applyAlignment="0" applyProtection="0"/>
    <xf numFmtId="181" fontId="31" fillId="28" borderId="45" applyNumberFormat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 applyNumberFormat="0" applyBorder="0" applyAlignment="0" applyProtection="0"/>
    <xf numFmtId="0" fontId="21" fillId="22" borderId="0" applyNumberFormat="0" applyBorder="0" applyAlignment="0" applyProtection="0"/>
    <xf numFmtId="181" fontId="26" fillId="0" borderId="46" applyNumberFormat="0" applyFill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181" fontId="24" fillId="28" borderId="43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80" fillId="76" borderId="45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80" fillId="76" borderId="45" applyNumberFormat="0" applyAlignment="0" applyProtection="0"/>
    <xf numFmtId="0" fontId="77" fillId="76" borderId="45" applyNumberFormat="0" applyAlignment="0" applyProtection="0"/>
    <xf numFmtId="0" fontId="80" fillId="76" borderId="45" applyNumberFormat="0" applyAlignment="0" applyProtection="0"/>
    <xf numFmtId="0" fontId="77" fillId="76" borderId="45" applyNumberFormat="0" applyAlignment="0" applyProtection="0"/>
    <xf numFmtId="0" fontId="77" fillId="76" borderId="45" applyNumberFormat="0" applyAlignment="0" applyProtection="0"/>
    <xf numFmtId="0" fontId="80" fillId="76" borderId="45" applyNumberFormat="0" applyAlignment="0" applyProtection="0"/>
    <xf numFmtId="0" fontId="77" fillId="76" borderId="45" applyNumberFormat="0" applyAlignment="0" applyProtection="0"/>
    <xf numFmtId="0" fontId="15" fillId="79" borderId="48" applyNumberFormat="0" applyFont="0" applyAlignment="0" applyProtection="0"/>
    <xf numFmtId="0" fontId="9" fillId="20" borderId="44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181" fontId="9" fillId="20" borderId="44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9" fillId="20" borderId="44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9" fillId="20" borderId="44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15" fillId="79" borderId="48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181" fontId="27" fillId="27" borderId="43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80" fillId="11" borderId="45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80" fillId="11" borderId="45" applyNumberFormat="0" applyAlignment="0" applyProtection="0"/>
    <xf numFmtId="0" fontId="27" fillId="11" borderId="45" applyNumberFormat="0" applyAlignment="0" applyProtection="0"/>
    <xf numFmtId="0" fontId="80" fillId="11" borderId="45" applyNumberFormat="0" applyAlignment="0" applyProtection="0"/>
    <xf numFmtId="0" fontId="27" fillId="11" borderId="45" applyNumberFormat="0" applyAlignment="0" applyProtection="0"/>
    <xf numFmtId="0" fontId="27" fillId="11" borderId="45" applyNumberFormat="0" applyAlignment="0" applyProtection="0"/>
    <xf numFmtId="0" fontId="80" fillId="11" borderId="45" applyNumberFormat="0" applyAlignment="0" applyProtection="0"/>
    <xf numFmtId="0" fontId="27" fillId="11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80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80" fillId="76" borderId="45" applyNumberFormat="0" applyAlignment="0" applyProtection="0"/>
    <xf numFmtId="0" fontId="31" fillId="76" borderId="45" applyNumberFormat="0" applyAlignment="0" applyProtection="0"/>
    <xf numFmtId="0" fontId="80" fillId="76" borderId="45" applyNumberFormat="0" applyAlignment="0" applyProtection="0"/>
    <xf numFmtId="0" fontId="31" fillId="76" borderId="45" applyNumberFormat="0" applyAlignment="0" applyProtection="0"/>
    <xf numFmtId="0" fontId="31" fillId="76" borderId="45" applyNumberFormat="0" applyAlignment="0" applyProtection="0"/>
    <xf numFmtId="0" fontId="80" fillId="76" borderId="45" applyNumberFormat="0" applyAlignment="0" applyProtection="0"/>
    <xf numFmtId="0" fontId="31" fillId="76" borderId="45" applyNumberFormat="0" applyAlignment="0" applyProtection="0"/>
    <xf numFmtId="0" fontId="31" fillId="73" borderId="45" applyNumberFormat="0" applyAlignment="0" applyProtection="0"/>
    <xf numFmtId="0" fontId="21" fillId="16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181" fontId="24" fillId="28" borderId="43" applyNumberFormat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 applyNumberFormat="0" applyBorder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80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80" fillId="0" borderId="47" applyNumberFormat="0" applyFill="0" applyAlignment="0" applyProtection="0"/>
    <xf numFmtId="0" fontId="26" fillId="0" borderId="47" applyNumberFormat="0" applyFill="0" applyAlignment="0" applyProtection="0"/>
    <xf numFmtId="0" fontId="80" fillId="0" borderId="47" applyNumberFormat="0" applyFill="0" applyAlignment="0" applyProtection="0"/>
    <xf numFmtId="0" fontId="21" fillId="22" borderId="0" applyNumberFormat="0" applyBorder="0" applyAlignment="0" applyProtection="0"/>
    <xf numFmtId="0" fontId="26" fillId="0" borderId="47" applyNumberFormat="0" applyFill="0" applyAlignment="0" applyProtection="0"/>
    <xf numFmtId="0" fontId="26" fillId="0" borderId="47" applyNumberFormat="0" applyFill="0" applyAlignment="0" applyProtection="0"/>
    <xf numFmtId="0" fontId="80" fillId="0" borderId="47" applyNumberFormat="0" applyFill="0" applyAlignment="0" applyProtection="0"/>
    <xf numFmtId="0" fontId="26" fillId="0" borderId="47" applyNumberFormat="0" applyFill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9" fillId="20" borderId="44" applyNumberFormat="0" applyFont="0" applyAlignment="0" applyProtection="0"/>
    <xf numFmtId="0" fontId="24" fillId="28" borderId="43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27" fillId="27" borderId="43" applyNumberFormat="0" applyAlignment="0" applyProtection="0"/>
    <xf numFmtId="0" fontId="31" fillId="28" borderId="45" applyNumberFormat="0" applyAlignment="0" applyProtection="0"/>
    <xf numFmtId="0" fontId="26" fillId="0" borderId="46" applyNumberFormat="0" applyFill="0" applyAlignment="0" applyProtection="0"/>
    <xf numFmtId="0" fontId="26" fillId="0" borderId="47" applyNumberFormat="0" applyFill="0" applyAlignment="0" applyProtection="0"/>
    <xf numFmtId="0" fontId="27" fillId="7" borderId="43" applyNumberFormat="0" applyAlignment="0" applyProtection="0"/>
    <xf numFmtId="0" fontId="22" fillId="79" borderId="44" applyNumberFormat="0" applyFont="0" applyAlignment="0" applyProtection="0"/>
    <xf numFmtId="0" fontId="77" fillId="73" borderId="43" applyNumberFormat="0" applyAlignment="0" applyProtection="0"/>
    <xf numFmtId="181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6" fillId="0" borderId="46" applyNumberFormat="0" applyFill="0" applyAlignment="0" applyProtection="0"/>
    <xf numFmtId="181" fontId="26" fillId="0" borderId="46" applyNumberFormat="0" applyFill="0" applyAlignment="0" applyProtection="0"/>
    <xf numFmtId="0" fontId="26" fillId="0" borderId="46" applyNumberFormat="0" applyFill="0" applyAlignment="0" applyProtection="0"/>
    <xf numFmtId="181" fontId="26" fillId="0" borderId="46" applyNumberFormat="0" applyFill="0" applyAlignment="0" applyProtection="0"/>
    <xf numFmtId="0" fontId="26" fillId="0" borderId="46" applyNumberFormat="0" applyFill="0" applyAlignment="0" applyProtection="0"/>
    <xf numFmtId="0" fontId="21" fillId="19" borderId="0" applyNumberFormat="0" applyBorder="0" applyAlignment="0" applyProtection="0"/>
    <xf numFmtId="181" fontId="31" fillId="28" borderId="45" applyNumberFormat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0" fontId="31" fillId="28" borderId="45" applyNumberFormat="0" applyAlignment="0" applyProtection="0"/>
    <xf numFmtId="181" fontId="31" fillId="28" borderId="45" applyNumberFormat="0" applyAlignment="0" applyProtection="0"/>
    <xf numFmtId="0" fontId="31" fillId="28" borderId="45" applyNumberFormat="0" applyAlignment="0" applyProtection="0"/>
    <xf numFmtId="181" fontId="31" fillId="28" borderId="45" applyNumberFormat="0" applyAlignment="0" applyProtection="0"/>
    <xf numFmtId="0" fontId="31" fillId="28" borderId="45" applyNumberFormat="0" applyAlignment="0" applyProtection="0"/>
    <xf numFmtId="0" fontId="21" fillId="22" borderId="0" applyNumberFormat="0" applyBorder="0" applyAlignment="0" applyProtection="0"/>
    <xf numFmtId="0" fontId="21" fillId="16" borderId="0" applyNumberFormat="0" applyBorder="0" applyAlignment="0" applyProtection="0"/>
    <xf numFmtId="0" fontId="21" fillId="24" borderId="0" applyNumberFormat="0" applyBorder="0" applyAlignment="0" applyProtection="0"/>
    <xf numFmtId="0" fontId="21" fillId="26" borderId="0" applyNumberFormat="0" applyBorder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0" fontId="27" fillId="27" borderId="43" applyNumberFormat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181" fontId="27" fillId="27" borderId="43" applyNumberFormat="0" applyAlignment="0" applyProtection="0"/>
    <xf numFmtId="0" fontId="27" fillId="27" borderId="43" applyNumberForma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0" fontId="9" fillId="20" borderId="44" applyNumberFormat="0" applyFont="0" applyAlignment="0" applyProtection="0"/>
    <xf numFmtId="181" fontId="24" fillId="28" borderId="43" applyNumberFormat="0" applyAlignment="0" applyProtection="0"/>
    <xf numFmtId="0" fontId="24" fillId="28" borderId="43" applyNumberFormat="0" applyAlignment="0" applyProtection="0"/>
    <xf numFmtId="181" fontId="24" fillId="28" borderId="43" applyNumberFormat="0" applyAlignment="0" applyProtection="0"/>
    <xf numFmtId="0" fontId="21" fillId="16" borderId="0" applyNumberFormat="0" applyBorder="0" applyAlignment="0" applyProtection="0"/>
    <xf numFmtId="167" fontId="9" fillId="0" borderId="0" applyFont="0" applyFill="0" applyBorder="0" applyAlignment="0" applyProtection="0"/>
    <xf numFmtId="0" fontId="21" fillId="26" borderId="0" applyNumberFormat="0" applyBorder="0" applyAlignment="0" applyProtection="0"/>
    <xf numFmtId="0" fontId="21" fillId="24" borderId="0" applyNumberFormat="0" applyBorder="0" applyAlignment="0" applyProtection="0"/>
    <xf numFmtId="0" fontId="21" fillId="16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16" borderId="0" applyNumberFormat="0" applyBorder="0" applyAlignment="0" applyProtection="0"/>
    <xf numFmtId="0" fontId="9" fillId="20" borderId="44" applyNumberFormat="0" applyFont="0" applyAlignment="0" applyProtection="0"/>
    <xf numFmtId="164" fontId="8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7" fillId="0" borderId="0"/>
    <xf numFmtId="171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9" fontId="101" fillId="0" borderId="0">
      <alignment horizontal="right"/>
    </xf>
    <xf numFmtId="0" fontId="9" fillId="0" borderId="0"/>
    <xf numFmtId="191" fontId="102" fillId="35" borderId="49"/>
    <xf numFmtId="0" fontId="103" fillId="35" borderId="0"/>
    <xf numFmtId="0" fontId="99" fillId="0" borderId="0" applyNumberFormat="0" applyFill="0" applyBorder="0" applyProtection="0">
      <alignment horizontal="left"/>
    </xf>
    <xf numFmtId="0" fontId="9" fillId="0" borderId="0"/>
    <xf numFmtId="0" fontId="9" fillId="0" borderId="0"/>
    <xf numFmtId="0" fontId="105" fillId="0" borderId="58">
      <alignment horizontal="right" wrapText="1"/>
    </xf>
    <xf numFmtId="181" fontId="21" fillId="16" borderId="0" applyNumberFormat="0" applyBorder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181" fontId="27" fillId="27" borderId="56" applyNumberFormat="0" applyAlignment="0" applyProtection="0"/>
    <xf numFmtId="181" fontId="27" fillId="27" borderId="56" applyNumberFormat="0" applyAlignment="0" applyProtection="0"/>
    <xf numFmtId="181" fontId="27" fillId="27" borderId="56" applyNumberFormat="0" applyAlignment="0" applyProtection="0"/>
    <xf numFmtId="181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27" fillId="27" borderId="56" applyNumberForma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181" fontId="21" fillId="19" borderId="0" applyNumberFormat="0" applyBorder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181" fontId="9" fillId="20" borderId="57" applyNumberFormat="0" applyFont="0" applyAlignment="0" applyProtection="0"/>
    <xf numFmtId="0" fontId="9" fillId="20" borderId="57" applyNumberFormat="0" applyFont="0" applyAlignment="0" applyProtection="0"/>
    <xf numFmtId="181" fontId="9" fillId="20" borderId="57" applyNumberFormat="0" applyFont="0" applyAlignment="0" applyProtection="0"/>
    <xf numFmtId="181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9" fillId="20" borderId="57" applyNumberFormat="0" applyFon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181" fontId="24" fillId="28" borderId="56" applyNumberFormat="0" applyAlignment="0" applyProtection="0"/>
    <xf numFmtId="181" fontId="24" fillId="28" borderId="56" applyNumberFormat="0" applyAlignment="0" applyProtection="0"/>
    <xf numFmtId="181" fontId="24" fillId="28" borderId="56" applyNumberFormat="0" applyAlignment="0" applyProtection="0"/>
    <xf numFmtId="181" fontId="21" fillId="22" borderId="0" applyNumberFormat="0" applyBorder="0" applyAlignment="0" applyProtection="0"/>
    <xf numFmtId="181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0" fontId="24" fillId="28" borderId="56" applyNumberFormat="0" applyAlignment="0" applyProtection="0"/>
    <xf numFmtId="181" fontId="21" fillId="16" borderId="0" applyNumberFormat="0" applyBorder="0" applyAlignment="0" applyProtection="0"/>
    <xf numFmtId="181" fontId="21" fillId="24" borderId="0" applyNumberFormat="0" applyBorder="0" applyAlignment="0" applyProtection="0"/>
    <xf numFmtId="181" fontId="21" fillId="26" borderId="0" applyNumberFormat="0" applyBorder="0" applyAlignment="0" applyProtection="0"/>
    <xf numFmtId="181" fontId="23" fillId="0" borderId="0" applyNumberFormat="0" applyFill="0" applyBorder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181" fontId="24" fillId="28" borderId="50" applyNumberFormat="0" applyAlignment="0" applyProtection="0"/>
    <xf numFmtId="181" fontId="24" fillId="28" borderId="50" applyNumberFormat="0" applyAlignment="0" applyProtection="0"/>
    <xf numFmtId="181" fontId="24" fillId="28" borderId="50" applyNumberFormat="0" applyAlignment="0" applyProtection="0"/>
    <xf numFmtId="181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0" fontId="24" fillId="28" borderId="50" applyNumberFormat="0" applyAlignment="0" applyProtection="0"/>
    <xf numFmtId="181" fontId="25" fillId="0" borderId="2" applyNumberFormat="0" applyFill="0" applyAlignment="0" applyProtection="0"/>
    <xf numFmtId="165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181" fontId="9" fillId="20" borderId="51" applyNumberFormat="0" applyFont="0" applyAlignment="0" applyProtection="0"/>
    <xf numFmtId="181" fontId="9" fillId="20" borderId="51" applyNumberFormat="0" applyFont="0" applyAlignment="0" applyProtection="0"/>
    <xf numFmtId="0" fontId="9" fillId="20" borderId="51" applyNumberFormat="0" applyFont="0" applyAlignment="0" applyProtection="0"/>
    <xf numFmtId="181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0" fontId="9" fillId="20" borderId="51" applyNumberFormat="0" applyFont="0" applyAlignment="0" applyProtection="0"/>
    <xf numFmtId="192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93" fontId="15" fillId="111" borderId="0" applyFill="0">
      <alignment horizontal="right"/>
    </xf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181" fontId="27" fillId="27" borderId="50" applyNumberFormat="0" applyAlignment="0" applyProtection="0"/>
    <xf numFmtId="181" fontId="27" fillId="27" borderId="50" applyNumberFormat="0" applyAlignment="0" applyProtection="0"/>
    <xf numFmtId="181" fontId="27" fillId="27" borderId="50" applyNumberFormat="0" applyAlignment="0" applyProtection="0"/>
    <xf numFmtId="181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0" fontId="27" fillId="27" borderId="50" applyNumberFormat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186" fontId="9" fillId="0" borderId="0" applyFill="0" applyBorder="0" applyAlignment="0" applyProtection="0"/>
    <xf numFmtId="44" fontId="9" fillId="0" borderId="0" applyFont="0" applyFill="0" applyBorder="0" applyAlignment="0" applyProtection="0"/>
    <xf numFmtId="186" fontId="9" fillId="0" borderId="0" applyFill="0" applyBorder="0" applyAlignment="0" applyProtection="0"/>
    <xf numFmtId="194" fontId="104" fillId="0" borderId="0" applyFill="0" applyBorder="0">
      <alignment horizontal="right" vertical="top"/>
    </xf>
    <xf numFmtId="0" fontId="105" fillId="0" borderId="52">
      <alignment horizontal="right" wrapText="1"/>
    </xf>
    <xf numFmtId="172" fontId="9" fillId="36" borderId="10" applyNumberFormat="0" applyFont="0" applyBorder="0" applyAlignment="0" applyProtection="0"/>
    <xf numFmtId="172" fontId="9" fillId="36" borderId="10" applyNumberFormat="0" applyFont="0" applyBorder="0" applyAlignment="0" applyProtection="0"/>
    <xf numFmtId="0" fontId="106" fillId="36" borderId="0" applyNumberFormat="0" applyFont="0" applyAlignment="0"/>
    <xf numFmtId="0" fontId="107" fillId="60" borderId="0" applyNumberFormat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0" fontId="10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7" fontId="9" fillId="0" borderId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7" fontId="9" fillId="0" borderId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9" fillId="0" borderId="0" applyFont="0" applyFill="0" applyBorder="0" applyAlignment="0" applyProtection="0"/>
    <xf numFmtId="181" fontId="29" fillId="33" borderId="0" applyNumberFormat="0" applyBorder="0" applyAlignment="0" applyProtection="0"/>
    <xf numFmtId="0" fontId="7" fillId="0" borderId="0"/>
    <xf numFmtId="0" fontId="7" fillId="0" borderId="0"/>
    <xf numFmtId="0" fontId="110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10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8" fillId="0" borderId="0"/>
    <xf numFmtId="0" fontId="98" fillId="0" borderId="0"/>
    <xf numFmtId="0" fontId="111" fillId="0" borderId="0"/>
    <xf numFmtId="0" fontId="9" fillId="0" borderId="0"/>
    <xf numFmtId="0" fontId="7" fillId="0" borderId="0"/>
    <xf numFmtId="0" fontId="112" fillId="0" borderId="0"/>
    <xf numFmtId="0" fontId="113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/>
    <xf numFmtId="0" fontId="101" fillId="0" borderId="0" applyFont="0" applyFill="0" applyBorder="0" applyProtection="0">
      <alignment horizontal="right"/>
    </xf>
    <xf numFmtId="9" fontId="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" fillId="0" borderId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13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" fillId="0" borderId="0" applyFill="0" applyBorder="0" applyAlignment="0" applyProtection="0"/>
    <xf numFmtId="9" fontId="11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9" fillId="0" borderId="0" applyFont="0" applyFill="0" applyBorder="0" applyAlignment="0" applyProtection="0"/>
    <xf numFmtId="181" fontId="30" fillId="23" borderId="0" applyNumberFormat="0" applyBorder="0" applyAlignment="0" applyProtection="0"/>
    <xf numFmtId="0" fontId="100" fillId="110" borderId="0">
      <alignment horizontal="right" vertical="center"/>
    </xf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181" fontId="31" fillId="28" borderId="53" applyNumberFormat="0" applyAlignment="0" applyProtection="0"/>
    <xf numFmtId="181" fontId="31" fillId="28" borderId="53" applyNumberFormat="0" applyAlignment="0" applyProtection="0"/>
    <xf numFmtId="181" fontId="31" fillId="28" borderId="53" applyNumberFormat="0" applyAlignment="0" applyProtection="0"/>
    <xf numFmtId="181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31" fillId="28" borderId="53" applyNumberFormat="0" applyAlignment="0" applyProtection="0"/>
    <xf numFmtId="0" fontId="15" fillId="111" borderId="0" applyFill="0">
      <alignment horizontal="left"/>
    </xf>
    <xf numFmtId="49" fontId="99" fillId="111" borderId="0"/>
    <xf numFmtId="181" fontId="33" fillId="0" borderId="5" applyNumberFormat="0" applyFill="0" applyAlignment="0" applyProtection="0"/>
    <xf numFmtId="181" fontId="34" fillId="0" borderId="6" applyNumberFormat="0" applyFill="0" applyAlignment="0" applyProtection="0"/>
    <xf numFmtId="181" fontId="35" fillId="0" borderId="7" applyNumberFormat="0" applyFill="0" applyAlignment="0" applyProtection="0"/>
    <xf numFmtId="191" fontId="102" fillId="35" borderId="55"/>
    <xf numFmtId="181" fontId="35" fillId="0" borderId="0" applyNumberFormat="0" applyFill="0" applyBorder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181" fontId="26" fillId="0" borderId="54" applyNumberFormat="0" applyFill="0" applyAlignment="0" applyProtection="0"/>
    <xf numFmtId="181" fontId="26" fillId="0" borderId="54" applyNumberFormat="0" applyFill="0" applyAlignment="0" applyProtection="0"/>
    <xf numFmtId="181" fontId="26" fillId="0" borderId="54" applyNumberFormat="0" applyFill="0" applyAlignment="0" applyProtection="0"/>
    <xf numFmtId="181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0" fontId="26" fillId="0" borderId="54" applyNumberFormat="0" applyFill="0" applyAlignment="0" applyProtection="0"/>
    <xf numFmtId="181" fontId="36" fillId="22" borderId="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181" fontId="31" fillId="28" borderId="59" applyNumberFormat="0" applyAlignment="0" applyProtection="0"/>
    <xf numFmtId="181" fontId="31" fillId="28" borderId="59" applyNumberFormat="0" applyAlignment="0" applyProtection="0"/>
    <xf numFmtId="181" fontId="31" fillId="28" borderId="59" applyNumberFormat="0" applyAlignment="0" applyProtection="0"/>
    <xf numFmtId="181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31" fillId="28" borderId="59" applyNumberFormat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181" fontId="26" fillId="0" borderId="60" applyNumberFormat="0" applyFill="0" applyAlignment="0" applyProtection="0"/>
    <xf numFmtId="181" fontId="26" fillId="0" borderId="60" applyNumberFormat="0" applyFill="0" applyAlignment="0" applyProtection="0"/>
    <xf numFmtId="181" fontId="26" fillId="0" borderId="60" applyNumberFormat="0" applyFill="0" applyAlignment="0" applyProtection="0"/>
    <xf numFmtId="181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26" fillId="0" borderId="60" applyNumberFormat="0" applyFill="0" applyAlignment="0" applyProtection="0"/>
    <xf numFmtId="0" fontId="6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9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9" fillId="111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195" fontId="6" fillId="0" borderId="0" applyFont="0" applyFill="0" applyBorder="0" applyAlignment="0" applyProtection="0"/>
    <xf numFmtId="0" fontId="6" fillId="0" borderId="0"/>
    <xf numFmtId="181" fontId="118" fillId="0" borderId="0"/>
    <xf numFmtId="181" fontId="9" fillId="0" borderId="0"/>
    <xf numFmtId="167" fontId="9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4" fillId="0" borderId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51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3" fillId="0" borderId="0"/>
    <xf numFmtId="181" fontId="9" fillId="0" borderId="0"/>
    <xf numFmtId="181" fontId="24" fillId="28" borderId="79" applyNumberFormat="0" applyAlignment="0" applyProtection="0"/>
    <xf numFmtId="181" fontId="9" fillId="20" borderId="80" applyNumberFormat="0" applyFont="0" applyAlignment="0" applyProtection="0"/>
    <xf numFmtId="181" fontId="27" fillId="27" borderId="79" applyNumberFormat="0" applyAlignment="0" applyProtection="0"/>
    <xf numFmtId="181" fontId="31" fillId="28" borderId="81" applyNumberFormat="0" applyAlignment="0" applyProtection="0"/>
    <xf numFmtId="181" fontId="26" fillId="0" borderId="82" applyNumberFormat="0" applyFill="0" applyAlignment="0" applyProtection="0"/>
    <xf numFmtId="0" fontId="3" fillId="0" borderId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3" fillId="0" borderId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28" borderId="79" applyNumberFormat="0" applyAlignment="0" applyProtection="0"/>
    <xf numFmtId="0" fontId="26" fillId="0" borderId="82" applyNumberFormat="0" applyFill="0" applyAlignment="0" applyProtection="0"/>
    <xf numFmtId="0" fontId="9" fillId="20" borderId="80" applyNumberFormat="0" applyFont="0" applyAlignment="0" applyProtection="0"/>
    <xf numFmtId="0" fontId="31" fillId="28" borderId="81" applyNumberFormat="0" applyAlignment="0" applyProtection="0"/>
    <xf numFmtId="0" fontId="27" fillId="27" borderId="79" applyNumberFormat="0" applyAlignment="0" applyProtection="0"/>
    <xf numFmtId="0" fontId="3" fillId="0" borderId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48" borderId="0" applyNumberFormat="0" applyBorder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9" fillId="20" borderId="80" applyNumberFormat="0" applyFon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0" fontId="31" fillId="28" borderId="81" applyNumberFormat="0" applyAlignment="0" applyProtection="0"/>
    <xf numFmtId="0" fontId="27" fillId="27" borderId="79" applyNumberFormat="0" applyAlignment="0" applyProtection="0"/>
    <xf numFmtId="0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0" fontId="26" fillId="0" borderId="82" applyNumberFormat="0" applyFill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44" fontId="3" fillId="0" borderId="0" applyFont="0" applyFill="0" applyBorder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26" fillId="0" borderId="82" applyNumberFormat="0" applyFill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9" fillId="20" borderId="80" applyNumberFormat="0" applyFont="0" applyAlignment="0" applyProtection="0"/>
    <xf numFmtId="181" fontId="27" fillId="27" borderId="79" applyNumberFormat="0" applyAlignment="0" applyProtection="0"/>
    <xf numFmtId="0" fontId="9" fillId="20" borderId="80" applyNumberFormat="0" applyFont="0" applyAlignment="0" applyProtection="0"/>
    <xf numFmtId="9" fontId="3" fillId="0" borderId="0" applyFont="0" applyFill="0" applyBorder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181" fontId="9" fillId="20" borderId="80" applyNumberFormat="0" applyFont="0" applyAlignment="0" applyProtection="0"/>
    <xf numFmtId="0" fontId="26" fillId="0" borderId="82" applyNumberFormat="0" applyFill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27" fillId="27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0" fontId="3" fillId="0" borderId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3" fillId="0" borderId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4" fillId="28" borderId="79" applyNumberFormat="0" applyAlignment="0" applyProtection="0"/>
    <xf numFmtId="0" fontId="27" fillId="27" borderId="79" applyNumberForma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31" fillId="28" borderId="81" applyNumberFormat="0" applyAlignment="0" applyProtection="0"/>
    <xf numFmtId="0" fontId="9" fillId="100" borderId="80" applyNumberFormat="0" applyAlignment="0" applyProtection="0"/>
    <xf numFmtId="0" fontId="27" fillId="90" borderId="79" applyNumberForma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31" fillId="103" borderId="81" applyNumberForma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27" fillId="27" borderId="79" applyNumberFormat="0" applyAlignment="0" applyProtection="0"/>
    <xf numFmtId="0" fontId="27" fillId="90" borderId="79" applyNumberFormat="0" applyAlignment="0" applyProtection="0"/>
    <xf numFmtId="0" fontId="9" fillId="20" borderId="80" applyNumberFormat="0" applyFont="0" applyAlignment="0" applyProtection="0"/>
    <xf numFmtId="0" fontId="9" fillId="100" borderId="80" applyNumberFormat="0" applyAlignment="0" applyProtection="0"/>
    <xf numFmtId="0" fontId="24" fillId="28" borderId="79" applyNumberFormat="0" applyAlignment="0" applyProtection="0"/>
    <xf numFmtId="0" fontId="24" fillId="103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9" fontId="3" fillId="0" borderId="0" applyFont="0" applyFill="0" applyBorder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31" fillId="28" borderId="81" applyNumberFormat="0" applyAlignment="0" applyProtection="0"/>
    <xf numFmtId="9" fontId="3" fillId="0" borderId="0" applyFont="0" applyFill="0" applyBorder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4" fillId="103" borderId="79" applyNumberFormat="0" applyAlignment="0" applyProtection="0"/>
    <xf numFmtId="0" fontId="3" fillId="0" borderId="0"/>
    <xf numFmtId="0" fontId="3" fillId="0" borderId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26" fillId="0" borderId="82" applyNumberFormat="0" applyFill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4" fillId="103" borderId="79" applyNumberFormat="0" applyAlignment="0" applyProtection="0"/>
    <xf numFmtId="0" fontId="9" fillId="100" borderId="80" applyNumberFormat="0" applyAlignment="0" applyProtection="0"/>
    <xf numFmtId="0" fontId="27" fillId="90" borderId="79" applyNumberFormat="0" applyAlignment="0" applyProtection="0"/>
    <xf numFmtId="0" fontId="3" fillId="0" borderId="0"/>
    <xf numFmtId="0" fontId="31" fillId="103" borderId="81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9" fillId="20" borderId="80" applyNumberFormat="0" applyFont="0" applyAlignment="0" applyProtection="0"/>
    <xf numFmtId="181" fontId="24" fillId="28" borderId="79" applyNumberFormat="0" applyAlignment="0" applyProtection="0"/>
    <xf numFmtId="0" fontId="27" fillId="27" borderId="79" applyNumberFormat="0" applyAlignment="0" applyProtection="0"/>
    <xf numFmtId="181" fontId="26" fillId="0" borderId="82" applyNumberFormat="0" applyFill="0" applyAlignment="0" applyProtection="0"/>
    <xf numFmtId="0" fontId="31" fillId="28" borderId="81" applyNumberFormat="0" applyAlignment="0" applyProtection="0"/>
    <xf numFmtId="181" fontId="26" fillId="0" borderId="82" applyNumberFormat="0" applyFill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44" fontId="9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26" fillId="0" borderId="82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28" borderId="81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4" fillId="28" borderId="79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77" fillId="73" borderId="79" applyNumberFormat="0" applyAlignment="0" applyProtection="0"/>
    <xf numFmtId="0" fontId="22" fillId="79" borderId="80" applyNumberFormat="0" applyFont="0" applyAlignment="0" applyProtection="0"/>
    <xf numFmtId="0" fontId="27" fillId="7" borderId="79" applyNumberFormat="0" applyAlignment="0" applyProtection="0"/>
    <xf numFmtId="0" fontId="31" fillId="73" borderId="81" applyNumberFormat="0" applyAlignment="0" applyProtection="0"/>
    <xf numFmtId="0" fontId="26" fillId="0" borderId="84" applyNumberFormat="0" applyFill="0" applyAlignment="0" applyProtection="0"/>
    <xf numFmtId="167" fontId="9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31" fillId="28" borderId="81" applyNumberFormat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31" fillId="28" borderId="81" applyNumberFormat="0" applyAlignment="0" applyProtection="0"/>
    <xf numFmtId="0" fontId="77" fillId="73" borderId="79" applyNumberFormat="0" applyAlignment="0" applyProtection="0"/>
    <xf numFmtId="0" fontId="22" fillId="79" borderId="80" applyNumberFormat="0" applyFont="0" applyAlignment="0" applyProtection="0"/>
    <xf numFmtId="0" fontId="27" fillId="7" borderId="79" applyNumberFormat="0" applyAlignment="0" applyProtection="0"/>
    <xf numFmtId="0" fontId="31" fillId="73" borderId="81" applyNumberFormat="0" applyAlignment="0" applyProtection="0"/>
    <xf numFmtId="0" fontId="26" fillId="0" borderId="84" applyNumberFormat="0" applyFill="0" applyAlignment="0" applyProtection="0"/>
    <xf numFmtId="0" fontId="31" fillId="103" borderId="81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81" fontId="24" fillId="28" borderId="79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77" fillId="73" borderId="79" applyNumberFormat="0" applyAlignment="0" applyProtection="0"/>
    <xf numFmtId="0" fontId="22" fillId="79" borderId="80" applyNumberFormat="0" applyFont="0" applyAlignment="0" applyProtection="0"/>
    <xf numFmtId="0" fontId="27" fillId="7" borderId="79" applyNumberFormat="0" applyAlignment="0" applyProtection="0"/>
    <xf numFmtId="0" fontId="31" fillId="73" borderId="81" applyNumberFormat="0" applyAlignment="0" applyProtection="0"/>
    <xf numFmtId="181" fontId="26" fillId="0" borderId="82" applyNumberFormat="0" applyFill="0" applyAlignment="0" applyProtection="0"/>
    <xf numFmtId="0" fontId="31" fillId="28" borderId="81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4" fillId="103" borderId="79" applyNumberFormat="0" applyAlignment="0" applyProtection="0"/>
    <xf numFmtId="0" fontId="9" fillId="100" borderId="80" applyNumberFormat="0" applyAlignment="0" applyProtection="0"/>
    <xf numFmtId="0" fontId="27" fillId="90" borderId="79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1" fillId="103" borderId="81" applyNumberFormat="0" applyAlignment="0" applyProtection="0"/>
    <xf numFmtId="0" fontId="26" fillId="0" borderId="82" applyNumberFormat="0" applyFill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81" fontId="27" fillId="27" borderId="79" applyNumberFormat="0" applyAlignment="0" applyProtection="0"/>
    <xf numFmtId="181" fontId="9" fillId="20" borderId="80" applyNumberFormat="0" applyFont="0" applyAlignment="0" applyProtection="0"/>
    <xf numFmtId="0" fontId="31" fillId="28" borderId="81" applyNumberFormat="0" applyAlignment="0" applyProtection="0"/>
    <xf numFmtId="164" fontId="3" fillId="0" borderId="0" applyFont="0" applyFill="0" applyBorder="0" applyAlignment="0" applyProtection="0"/>
    <xf numFmtId="0" fontId="9" fillId="20" borderId="80" applyNumberFormat="0" applyFont="0" applyAlignment="0" applyProtection="0"/>
    <xf numFmtId="181" fontId="27" fillId="27" borderId="79" applyNumberFormat="0" applyAlignment="0" applyProtection="0"/>
    <xf numFmtId="181" fontId="24" fillId="28" borderId="79" applyNumberFormat="0" applyAlignment="0" applyProtection="0"/>
    <xf numFmtId="0" fontId="27" fillId="7" borderId="79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27" fillId="27" borderId="79" applyNumberFormat="0" applyAlignment="0" applyProtection="0"/>
    <xf numFmtId="0" fontId="24" fillId="28" borderId="79" applyNumberFormat="0" applyAlignment="0" applyProtection="0"/>
    <xf numFmtId="0" fontId="9" fillId="20" borderId="80" applyNumberFormat="0" applyFont="0" applyAlignment="0" applyProtection="0"/>
    <xf numFmtId="0" fontId="22" fillId="79" borderId="80" applyNumberFormat="0" applyFont="0" applyAlignment="0" applyProtection="0"/>
    <xf numFmtId="181" fontId="24" fillId="28" borderId="79" applyNumberFormat="0" applyAlignment="0" applyProtection="0"/>
    <xf numFmtId="0" fontId="31" fillId="28" borderId="81" applyNumberFormat="0" applyAlignment="0" applyProtection="0"/>
    <xf numFmtId="0" fontId="24" fillId="28" borderId="79" applyNumberForma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24" fillId="28" borderId="79" applyNumberFormat="0" applyAlignment="0" applyProtection="0"/>
    <xf numFmtId="0" fontId="3" fillId="0" borderId="0"/>
    <xf numFmtId="181" fontId="31" fillId="28" borderId="81" applyNumberFormat="0" applyAlignment="0" applyProtection="0"/>
    <xf numFmtId="0" fontId="3" fillId="0" borderId="0"/>
    <xf numFmtId="0" fontId="31" fillId="28" borderId="81" applyNumberFormat="0" applyAlignment="0" applyProtection="0"/>
    <xf numFmtId="181" fontId="27" fillId="27" borderId="79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80" fillId="76" borderId="81" applyNumberFormat="0" applyAlignment="0" applyProtection="0"/>
    <xf numFmtId="0" fontId="24" fillId="103" borderId="79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24" fillId="28" borderId="79" applyNumberFormat="0" applyAlignment="0" applyProtection="0"/>
    <xf numFmtId="0" fontId="77" fillId="73" borderId="79" applyNumberFormat="0" applyAlignment="0" applyProtection="0"/>
    <xf numFmtId="0" fontId="31" fillId="73" borderId="81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2" fillId="79" borderId="80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100" borderId="80" applyNumberForma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80" fillId="11" borderId="81" applyNumberFormat="0" applyAlignment="0" applyProtection="0"/>
    <xf numFmtId="0" fontId="80" fillId="11" borderId="81" applyNumberFormat="0" applyAlignment="0" applyProtection="0"/>
    <xf numFmtId="0" fontId="27" fillId="90" borderId="79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27" borderId="79" applyNumberFormat="0" applyAlignment="0" applyProtection="0"/>
    <xf numFmtId="0" fontId="27" fillId="7" borderId="79" applyNumberFormat="0" applyAlignment="0" applyProtection="0"/>
    <xf numFmtId="0" fontId="31" fillId="28" borderId="81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44" fontId="9" fillId="0" borderId="0" applyFont="0" applyFill="0" applyBorder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9" fillId="20" borderId="80" applyNumberFormat="0" applyFon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3" fillId="0" borderId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3" fillId="0" borderId="0"/>
    <xf numFmtId="0" fontId="26" fillId="0" borderId="82" applyNumberFormat="0" applyFill="0" applyAlignment="0" applyProtection="0"/>
    <xf numFmtId="0" fontId="3" fillId="0" borderId="0"/>
    <xf numFmtId="0" fontId="3" fillId="0" borderId="0"/>
    <xf numFmtId="181" fontId="26" fillId="0" borderId="82" applyNumberFormat="0" applyFill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64" fontId="3" fillId="0" borderId="0" applyFont="0" applyFill="0" applyBorder="0" applyAlignment="0" applyProtection="0"/>
    <xf numFmtId="0" fontId="31" fillId="73" borderId="81" applyNumberFormat="0" applyAlignment="0" applyProtection="0"/>
    <xf numFmtId="0" fontId="3" fillId="0" borderId="0"/>
    <xf numFmtId="0" fontId="3" fillId="0" borderId="0"/>
    <xf numFmtId="0" fontId="26" fillId="0" borderId="82" applyNumberFormat="0" applyFill="0" applyAlignment="0" applyProtection="0"/>
    <xf numFmtId="0" fontId="3" fillId="0" borderId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81" fontId="31" fillId="28" borderId="81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181" fontId="9" fillId="20" borderId="80" applyNumberFormat="0" applyFont="0" applyAlignment="0" applyProtection="0"/>
    <xf numFmtId="181" fontId="26" fillId="0" borderId="82" applyNumberFormat="0" applyFill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" fillId="0" borderId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181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181" fontId="31" fillId="28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80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28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28" borderId="81" applyNumberFormat="0" applyAlignment="0" applyProtection="0"/>
    <xf numFmtId="181" fontId="24" fillId="28" borderId="79" applyNumberForma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81" fontId="9" fillId="20" borderId="80" applyNumberFormat="0" applyFon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181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181" fontId="26" fillId="0" borderId="82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80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2" applyNumberFormat="0" applyFill="0" applyAlignment="0" applyProtection="0"/>
    <xf numFmtId="0" fontId="77" fillId="73" borderId="79" applyNumberFormat="0" applyAlignment="0" applyProtection="0"/>
    <xf numFmtId="0" fontId="26" fillId="0" borderId="84" applyNumberFormat="0" applyFill="0" applyAlignment="0" applyProtection="0"/>
    <xf numFmtId="0" fontId="3" fillId="0" borderId="0"/>
    <xf numFmtId="0" fontId="3" fillId="0" borderId="0"/>
    <xf numFmtId="0" fontId="31" fillId="28" borderId="81" applyNumberForma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181" fontId="26" fillId="0" borderId="82" applyNumberFormat="0" applyFill="0" applyAlignment="0" applyProtection="0"/>
    <xf numFmtId="181" fontId="31" fillId="28" borderId="81" applyNumberFormat="0" applyAlignment="0" applyProtection="0"/>
    <xf numFmtId="181" fontId="9" fillId="20" borderId="80" applyNumberFormat="0" applyFont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28" borderId="79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9" fontId="3" fillId="0" borderId="0" applyFont="0" applyFill="0" applyBorder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20" borderId="80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4" fillId="103" borderId="79" applyNumberFormat="0" applyAlignment="0" applyProtection="0"/>
    <xf numFmtId="0" fontId="9" fillId="100" borderId="80" applyNumberFormat="0" applyAlignment="0" applyProtection="0"/>
    <xf numFmtId="0" fontId="27" fillId="90" borderId="79" applyNumberFormat="0" applyAlignment="0" applyProtection="0"/>
    <xf numFmtId="0" fontId="31" fillId="103" borderId="81" applyNumberFormat="0" applyAlignment="0" applyProtection="0"/>
    <xf numFmtId="0" fontId="24" fillId="28" borderId="79" applyNumberFormat="0" applyAlignment="0" applyProtection="0"/>
    <xf numFmtId="0" fontId="27" fillId="27" borderId="79" applyNumberForma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7" fillId="27" borderId="79" applyNumberForma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4" fillId="28" borderId="79" applyNumberFormat="0" applyAlignment="0" applyProtection="0"/>
    <xf numFmtId="0" fontId="31" fillId="28" borderId="81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9" fontId="3" fillId="0" borderId="0" applyFont="0" applyFill="0" applyBorder="0" applyAlignment="0" applyProtection="0"/>
    <xf numFmtId="0" fontId="3" fillId="42" borderId="0" applyNumberFormat="0" applyBorder="0" applyAlignment="0" applyProtection="0"/>
    <xf numFmtId="0" fontId="3" fillId="45" borderId="0" applyNumberFormat="0" applyBorder="0" applyAlignment="0" applyProtection="0"/>
    <xf numFmtId="0" fontId="3" fillId="51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181" fontId="31" fillId="28" borderId="81" applyNumberFormat="0" applyAlignment="0" applyProtection="0"/>
    <xf numFmtId="181" fontId="26" fillId="0" borderId="82" applyNumberFormat="0" applyFill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181" fontId="24" fillId="28" borderId="79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77" fillId="76" borderId="81" applyNumberFormat="0" applyAlignment="0" applyProtection="0"/>
    <xf numFmtId="0" fontId="80" fillId="76" borderId="81" applyNumberFormat="0" applyAlignment="0" applyProtection="0"/>
    <xf numFmtId="0" fontId="77" fillId="76" borderId="81" applyNumberForma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181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15" fillId="79" borderId="83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181" fontId="27" fillId="27" borderId="79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27" fillId="11" borderId="81" applyNumberFormat="0" applyAlignment="0" applyProtection="0"/>
    <xf numFmtId="0" fontId="80" fillId="11" borderId="81" applyNumberFormat="0" applyAlignment="0" applyProtection="0"/>
    <xf numFmtId="0" fontId="27" fillId="11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76" borderId="81" applyNumberFormat="0" applyAlignment="0" applyProtection="0"/>
    <xf numFmtId="0" fontId="80" fillId="76" borderId="81" applyNumberFormat="0" applyAlignment="0" applyProtection="0"/>
    <xf numFmtId="0" fontId="31" fillId="76" borderId="81" applyNumberFormat="0" applyAlignment="0" applyProtection="0"/>
    <xf numFmtId="0" fontId="31" fillId="73" borderId="81" applyNumberFormat="0" applyAlignment="0" applyProtection="0"/>
    <xf numFmtId="181" fontId="24" fillId="28" borderId="79" applyNumberFormat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26" fillId="0" borderId="84" applyNumberFormat="0" applyFill="0" applyAlignment="0" applyProtection="0"/>
    <xf numFmtId="0" fontId="80" fillId="0" borderId="84" applyNumberFormat="0" applyFill="0" applyAlignment="0" applyProtection="0"/>
    <xf numFmtId="0" fontId="26" fillId="0" borderId="84" applyNumberFormat="0" applyFill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164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7" fillId="27" borderId="79" applyNumberForma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4" applyNumberFormat="0" applyFill="0" applyAlignment="0" applyProtection="0"/>
    <xf numFmtId="0" fontId="27" fillId="7" borderId="79" applyNumberFormat="0" applyAlignment="0" applyProtection="0"/>
    <xf numFmtId="0" fontId="22" fillId="79" borderId="80" applyNumberFormat="0" applyFont="0" applyAlignment="0" applyProtection="0"/>
    <xf numFmtId="0" fontId="77" fillId="73" borderId="79" applyNumberFormat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0" fontId="9" fillId="20" borderId="80" applyNumberFormat="0" applyFont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" fillId="0" borderId="0"/>
    <xf numFmtId="191" fontId="102" fillId="35" borderId="85"/>
    <xf numFmtId="0" fontId="105" fillId="0" borderId="86">
      <alignment horizontal="right" wrapText="1"/>
    </xf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181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0" fontId="24" fillId="28" borderId="79" applyNumberFormat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181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9" fillId="20" borderId="80" applyNumberFormat="0" applyFon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181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0" fontId="27" fillId="27" borderId="79" applyNumberFormat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5" fillId="0" borderId="86">
      <alignment horizontal="right" wrapText="1"/>
    </xf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91" fontId="102" fillId="35" borderId="85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181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31" fillId="28" borderId="81" applyNumberFormat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181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26" fillId="0" borderId="82" applyNumberFormat="0" applyFill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95" fontId="3" fillId="0" borderId="0" applyFont="0" applyFill="0" applyBorder="0" applyAlignment="0" applyProtection="0"/>
    <xf numFmtId="0" fontId="3" fillId="0" borderId="0"/>
    <xf numFmtId="181" fontId="9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9" fillId="0" borderId="0"/>
    <xf numFmtId="0" fontId="9" fillId="0" borderId="0"/>
  </cellStyleXfs>
  <cellXfs count="1310">
    <xf numFmtId="0" fontId="0" fillId="0" borderId="0" xfId="0"/>
    <xf numFmtId="0" fontId="10" fillId="0" borderId="0" xfId="0" applyFont="1"/>
    <xf numFmtId="167" fontId="0" fillId="0" borderId="0" xfId="0" applyNumberFormat="1"/>
    <xf numFmtId="0" fontId="11" fillId="0" borderId="0" xfId="0" applyFont="1"/>
    <xf numFmtId="171" fontId="0" fillId="0" borderId="0" xfId="0" applyNumberFormat="1"/>
    <xf numFmtId="171" fontId="10" fillId="0" borderId="0" xfId="0" applyNumberFormat="1" applyFont="1"/>
    <xf numFmtId="4" fontId="10" fillId="0" borderId="0" xfId="0" applyNumberFormat="1" applyFont="1"/>
    <xf numFmtId="4" fontId="0" fillId="0" borderId="0" xfId="0" applyNumberFormat="1"/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9" fontId="0" fillId="0" borderId="0" xfId="0" applyNumberFormat="1" applyAlignment="1">
      <alignment horizontal="center"/>
    </xf>
    <xf numFmtId="167" fontId="9" fillId="0" borderId="0" xfId="345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center" wrapText="1"/>
    </xf>
    <xf numFmtId="167" fontId="0" fillId="0" borderId="0" xfId="345" applyFont="1"/>
    <xf numFmtId="14" fontId="14" fillId="0" borderId="0" xfId="0" applyNumberFormat="1" applyFont="1" applyAlignment="1">
      <alignment horizontal="center" vertical="center"/>
    </xf>
    <xf numFmtId="3" fontId="0" fillId="0" borderId="0" xfId="0" applyNumberFormat="1"/>
    <xf numFmtId="0" fontId="14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 applyAlignment="1">
      <alignment vertical="center"/>
    </xf>
    <xf numFmtId="0" fontId="37" fillId="0" borderId="0" xfId="0" applyFont="1"/>
    <xf numFmtId="0" fontId="17" fillId="0" borderId="0" xfId="0" applyFont="1" applyAlignment="1">
      <alignment horizontal="left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167" fontId="10" fillId="0" borderId="0" xfId="345" applyFont="1"/>
    <xf numFmtId="0" fontId="9" fillId="0" borderId="0" xfId="0" applyFont="1"/>
    <xf numFmtId="0" fontId="38" fillId="0" borderId="0" xfId="341" applyFont="1" applyAlignment="1" applyProtection="1"/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164" fontId="0" fillId="0" borderId="0" xfId="0" applyNumberFormat="1"/>
    <xf numFmtId="167" fontId="42" fillId="0" borderId="0" xfId="345" applyFont="1" applyAlignment="1">
      <alignment horizontal="center"/>
    </xf>
    <xf numFmtId="167" fontId="41" fillId="0" borderId="0" xfId="0" applyNumberFormat="1" applyFont="1" applyAlignment="1">
      <alignment horizontal="center"/>
    </xf>
    <xf numFmtId="167" fontId="41" fillId="0" borderId="0" xfId="345" applyFont="1" applyAlignment="1">
      <alignment horizontal="center"/>
    </xf>
    <xf numFmtId="2" fontId="41" fillId="0" borderId="0" xfId="345" applyNumberFormat="1" applyFont="1" applyAlignment="1">
      <alignment horizontal="left" vertical="center"/>
    </xf>
    <xf numFmtId="167" fontId="41" fillId="0" borderId="0" xfId="345" applyFont="1" applyAlignment="1">
      <alignment horizontal="left" vertical="center"/>
    </xf>
    <xf numFmtId="0" fontId="11" fillId="0" borderId="0" xfId="408"/>
    <xf numFmtId="0" fontId="10" fillId="0" borderId="0" xfId="408" applyFont="1"/>
    <xf numFmtId="0" fontId="11" fillId="0" borderId="0" xfId="408" applyAlignment="1">
      <alignment horizontal="right"/>
    </xf>
    <xf numFmtId="14" fontId="11" fillId="0" borderId="0" xfId="408" applyNumberFormat="1" applyAlignment="1">
      <alignment horizontal="center"/>
    </xf>
    <xf numFmtId="0" fontId="10" fillId="0" borderId="0" xfId="408" applyFont="1" applyAlignment="1">
      <alignment vertical="center" wrapText="1"/>
    </xf>
    <xf numFmtId="0" fontId="10" fillId="0" borderId="20" xfId="408" applyFont="1" applyBorder="1" applyAlignment="1">
      <alignment horizontal="center" vertical="center" wrapText="1"/>
    </xf>
    <xf numFmtId="0" fontId="11" fillId="0" borderId="20" xfId="408" applyBorder="1" applyAlignment="1">
      <alignment vertical="center" wrapText="1"/>
    </xf>
    <xf numFmtId="167" fontId="11" fillId="0" borderId="0" xfId="408" applyNumberFormat="1"/>
    <xf numFmtId="0" fontId="11" fillId="0" borderId="0" xfId="408" applyAlignment="1">
      <alignment horizontal="center"/>
    </xf>
    <xf numFmtId="165" fontId="11" fillId="0" borderId="0" xfId="357" applyNumberFormat="1" applyAlignment="1">
      <alignment horizontal="center"/>
    </xf>
    <xf numFmtId="169" fontId="11" fillId="0" borderId="0" xfId="357" applyNumberFormat="1" applyAlignment="1">
      <alignment horizontal="center"/>
    </xf>
    <xf numFmtId="169" fontId="11" fillId="0" borderId="0" xfId="357" applyNumberFormat="1" applyAlignment="1">
      <alignment horizontal="left"/>
    </xf>
    <xf numFmtId="167" fontId="11" fillId="0" borderId="0" xfId="357" applyNumberFormat="1" applyAlignment="1">
      <alignment horizontal="left"/>
    </xf>
    <xf numFmtId="169" fontId="39" fillId="0" borderId="0" xfId="357" applyNumberFormat="1" applyFont="1" applyAlignment="1">
      <alignment horizontal="left"/>
    </xf>
    <xf numFmtId="169" fontId="11" fillId="37" borderId="0" xfId="357" applyNumberFormat="1" applyFill="1" applyAlignment="1">
      <alignment horizontal="center" wrapText="1"/>
    </xf>
    <xf numFmtId="14" fontId="39" fillId="0" borderId="0" xfId="408" applyNumberFormat="1" applyFont="1" applyAlignment="1">
      <alignment horizontal="center"/>
    </xf>
    <xf numFmtId="164" fontId="10" fillId="0" borderId="0" xfId="0" applyNumberFormat="1" applyFont="1"/>
    <xf numFmtId="167" fontId="45" fillId="0" borderId="0" xfId="346" applyFont="1" applyAlignment="1">
      <alignment horizontal="center"/>
    </xf>
    <xf numFmtId="167" fontId="11" fillId="0" borderId="0" xfId="372"/>
    <xf numFmtId="0" fontId="44" fillId="34" borderId="0" xfId="0" applyFont="1" applyFill="1" applyAlignment="1">
      <alignment horizontal="left"/>
    </xf>
    <xf numFmtId="0" fontId="13" fillId="0" borderId="0" xfId="408" applyFont="1" applyAlignment="1">
      <alignment horizontal="center" vertical="center"/>
    </xf>
    <xf numFmtId="4" fontId="10" fillId="0" borderId="0" xfId="408" applyNumberFormat="1" applyFont="1" applyAlignment="1">
      <alignment horizontal="center" vertical="center" wrapText="1"/>
    </xf>
    <xf numFmtId="3" fontId="11" fillId="0" borderId="0" xfId="408" applyNumberFormat="1" applyAlignment="1">
      <alignment horizontal="center"/>
    </xf>
    <xf numFmtId="167" fontId="11" fillId="0" borderId="0" xfId="357" applyNumberFormat="1" applyAlignment="1">
      <alignment horizontal="center"/>
    </xf>
    <xf numFmtId="10" fontId="11" fillId="0" borderId="0" xfId="408" applyNumberFormat="1" applyAlignment="1">
      <alignment horizontal="center"/>
    </xf>
    <xf numFmtId="167" fontId="11" fillId="0" borderId="0" xfId="357" applyNumberFormat="1" applyAlignment="1">
      <alignment horizontal="center" vertical="center"/>
    </xf>
    <xf numFmtId="165" fontId="10" fillId="0" borderId="0" xfId="357" applyNumberFormat="1" applyFont="1" applyAlignment="1">
      <alignment horizontal="center"/>
    </xf>
    <xf numFmtId="3" fontId="10" fillId="0" borderId="0" xfId="408" applyNumberFormat="1" applyFont="1" applyAlignment="1">
      <alignment horizontal="center"/>
    </xf>
    <xf numFmtId="167" fontId="10" fillId="0" borderId="0" xfId="357" applyNumberFormat="1" applyFont="1"/>
    <xf numFmtId="167" fontId="10" fillId="0" borderId="0" xfId="357" applyNumberFormat="1" applyFont="1" applyAlignment="1">
      <alignment horizontal="center" vertical="center"/>
    </xf>
    <xf numFmtId="14" fontId="10" fillId="0" borderId="0" xfId="408" applyNumberFormat="1" applyFont="1" applyAlignment="1">
      <alignment horizontal="left"/>
    </xf>
    <xf numFmtId="0" fontId="47" fillId="0" borderId="0" xfId="0" applyFont="1"/>
    <xf numFmtId="14" fontId="48" fillId="0" borderId="0" xfId="408" applyNumberFormat="1" applyFont="1"/>
    <xf numFmtId="0" fontId="47" fillId="0" borderId="0" xfId="408" applyFont="1" applyAlignment="1">
      <alignment horizontal="center"/>
    </xf>
    <xf numFmtId="0" fontId="47" fillId="0" borderId="0" xfId="408" applyFont="1"/>
    <xf numFmtId="0" fontId="48" fillId="0" borderId="0" xfId="408" applyFont="1"/>
    <xf numFmtId="0" fontId="48" fillId="0" borderId="0" xfId="0" applyFont="1" applyAlignment="1">
      <alignment horizontal="left" vertical="center"/>
    </xf>
    <xf numFmtId="14" fontId="48" fillId="0" borderId="0" xfId="345" applyNumberFormat="1" applyFont="1" applyAlignment="1">
      <alignment horizontal="center" vertical="center"/>
    </xf>
    <xf numFmtId="0" fontId="13" fillId="0" borderId="0" xfId="408" applyFont="1"/>
    <xf numFmtId="0" fontId="14" fillId="0" borderId="0" xfId="408" applyFont="1"/>
    <xf numFmtId="0" fontId="13" fillId="0" borderId="0" xfId="408" applyFont="1" applyAlignment="1">
      <alignment horizontal="right"/>
    </xf>
    <xf numFmtId="14" fontId="13" fillId="0" borderId="0" xfId="408" applyNumberFormat="1" applyFont="1" applyAlignment="1">
      <alignment horizontal="center"/>
    </xf>
    <xf numFmtId="0" fontId="47" fillId="0" borderId="0" xfId="0" applyFont="1" applyAlignment="1">
      <alignment vertical="center" wrapText="1"/>
    </xf>
    <xf numFmtId="14" fontId="48" fillId="0" borderId="0" xfId="0" applyNumberFormat="1" applyFont="1" applyAlignment="1">
      <alignment horizontal="left" vertical="center"/>
    </xf>
    <xf numFmtId="0" fontId="48" fillId="0" borderId="0" xfId="0" applyFont="1" applyAlignment="1">
      <alignment vertical="center"/>
    </xf>
    <xf numFmtId="14" fontId="48" fillId="0" borderId="0" xfId="0" applyNumberFormat="1" applyFont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48" fillId="0" borderId="0" xfId="408" applyFont="1" applyAlignment="1">
      <alignment vertical="center"/>
    </xf>
    <xf numFmtId="167" fontId="37" fillId="0" borderId="0" xfId="345" applyFont="1"/>
    <xf numFmtId="0" fontId="9" fillId="0" borderId="0" xfId="0" applyFont="1" applyAlignment="1">
      <alignment horizontal="center"/>
    </xf>
    <xf numFmtId="167" fontId="0" fillId="0" borderId="0" xfId="345" applyFont="1" applyAlignment="1">
      <alignment horizontal="center"/>
    </xf>
    <xf numFmtId="0" fontId="9" fillId="0" borderId="0" xfId="3411"/>
    <xf numFmtId="167" fontId="9" fillId="0" borderId="0" xfId="3411" applyNumberFormat="1"/>
    <xf numFmtId="168" fontId="18" fillId="37" borderId="19" xfId="345" applyNumberFormat="1" applyFont="1" applyFill="1" applyBorder="1"/>
    <xf numFmtId="167" fontId="90" fillId="0" borderId="0" xfId="345" applyFont="1" applyAlignment="1">
      <alignment horizontal="center"/>
    </xf>
    <xf numFmtId="0" fontId="91" fillId="0" borderId="0" xfId="0" applyFont="1" applyAlignment="1">
      <alignment vertical="center" wrapText="1"/>
    </xf>
    <xf numFmtId="0" fontId="93" fillId="0" borderId="0" xfId="0" applyFont="1" applyAlignment="1">
      <alignment vertical="center" wrapText="1"/>
    </xf>
    <xf numFmtId="0" fontId="95" fillId="0" borderId="0" xfId="0" applyFont="1" applyAlignment="1">
      <alignment vertical="center"/>
    </xf>
    <xf numFmtId="0" fontId="94" fillId="0" borderId="0" xfId="0" applyFont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48" fillId="0" borderId="0" xfId="1711" applyFont="1" applyAlignment="1">
      <alignment horizontal="center" vertical="center"/>
    </xf>
    <xf numFmtId="0" fontId="48" fillId="0" borderId="0" xfId="1711" applyFont="1" applyAlignment="1">
      <alignment horizontal="left" vertical="center"/>
    </xf>
    <xf numFmtId="14" fontId="48" fillId="0" borderId="0" xfId="1711" applyNumberFormat="1" applyFont="1" applyAlignment="1">
      <alignment vertical="center"/>
    </xf>
    <xf numFmtId="14" fontId="48" fillId="0" borderId="0" xfId="1711" applyNumberFormat="1" applyFont="1" applyAlignment="1">
      <alignment horizontal="center" vertical="center"/>
    </xf>
    <xf numFmtId="0" fontId="47" fillId="0" borderId="0" xfId="1711" applyFont="1" applyAlignment="1">
      <alignment vertical="center"/>
    </xf>
    <xf numFmtId="0" fontId="9" fillId="0" borderId="0" xfId="1711"/>
    <xf numFmtId="168" fontId="9" fillId="0" borderId="0" xfId="1711" applyNumberFormat="1"/>
    <xf numFmtId="177" fontId="9" fillId="0" borderId="0" xfId="379"/>
    <xf numFmtId="0" fontId="10" fillId="0" borderId="0" xfId="1711" applyFont="1"/>
    <xf numFmtId="0" fontId="9" fillId="0" borderId="0" xfId="1711" applyAlignment="1">
      <alignment vertical="center"/>
    </xf>
    <xf numFmtId="167" fontId="9" fillId="0" borderId="0" xfId="3371"/>
    <xf numFmtId="177" fontId="9" fillId="0" borderId="0" xfId="379" applyAlignment="1">
      <alignment vertical="center"/>
    </xf>
    <xf numFmtId="0" fontId="13" fillId="0" borderId="0" xfId="1711" applyFont="1" applyAlignment="1">
      <alignment vertical="center"/>
    </xf>
    <xf numFmtId="0" fontId="14" fillId="0" borderId="0" xfId="1711" applyFont="1" applyAlignment="1">
      <alignment vertical="center"/>
    </xf>
    <xf numFmtId="4" fontId="14" fillId="0" borderId="0" xfId="1711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167" fontId="9" fillId="0" borderId="0" xfId="345" applyAlignment="1">
      <alignment horizontal="left" vertical="center"/>
    </xf>
    <xf numFmtId="168" fontId="9" fillId="0" borderId="0" xfId="0" applyNumberFormat="1" applyFont="1" applyAlignment="1">
      <alignment vertical="center"/>
    </xf>
    <xf numFmtId="167" fontId="9" fillId="0" borderId="0" xfId="345" applyFont="1" applyAlignment="1">
      <alignment vertical="center"/>
    </xf>
    <xf numFmtId="0" fontId="15" fillId="40" borderId="0" xfId="0" applyFont="1" applyFill="1" applyAlignment="1">
      <alignment horizontal="center" vertical="center"/>
    </xf>
    <xf numFmtId="196" fontId="11" fillId="0" borderId="0" xfId="408" applyNumberFormat="1"/>
    <xf numFmtId="167" fontId="9" fillId="0" borderId="0" xfId="345" applyFont="1"/>
    <xf numFmtId="14" fontId="10" fillId="0" borderId="0" xfId="0" applyNumberFormat="1" applyFont="1"/>
    <xf numFmtId="167" fontId="58" fillId="0" borderId="0" xfId="345" applyFont="1"/>
    <xf numFmtId="4" fontId="9" fillId="0" borderId="0" xfId="0" applyNumberFormat="1" applyFont="1"/>
    <xf numFmtId="167" fontId="9" fillId="0" borderId="0" xfId="345" applyFont="1" applyBorder="1"/>
    <xf numFmtId="167" fontId="9" fillId="0" borderId="0" xfId="347" applyFont="1"/>
    <xf numFmtId="164" fontId="9" fillId="0" borderId="0" xfId="0" applyNumberFormat="1" applyFont="1"/>
    <xf numFmtId="168" fontId="9" fillId="0" borderId="0" xfId="347" applyNumberFormat="1" applyFont="1" applyAlignment="1">
      <alignment horizontal="center" vertical="center"/>
    </xf>
    <xf numFmtId="167" fontId="39" fillId="0" borderId="0" xfId="347" applyFont="1"/>
    <xf numFmtId="167" fontId="57" fillId="0" borderId="0" xfId="345" applyFont="1" applyFill="1" applyAlignment="1">
      <alignment horizontal="center"/>
    </xf>
    <xf numFmtId="164" fontId="11" fillId="0" borderId="0" xfId="408" applyNumberFormat="1"/>
    <xf numFmtId="167" fontId="15" fillId="0" borderId="0" xfId="345" applyFont="1" applyAlignment="1">
      <alignment horizontal="center" vertical="center" wrapText="1"/>
    </xf>
    <xf numFmtId="0" fontId="9" fillId="0" borderId="0" xfId="341" applyFont="1" applyAlignment="1" applyProtection="1"/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14" fontId="1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167" fontId="10" fillId="0" borderId="0" xfId="345" applyFont="1" applyAlignment="1">
      <alignment horizontal="center" vertical="center"/>
    </xf>
    <xf numFmtId="167" fontId="10" fillId="0" borderId="0" xfId="345" quotePrefix="1" applyFont="1" applyAlignment="1">
      <alignment horizontal="center" vertical="center"/>
    </xf>
    <xf numFmtId="167" fontId="9" fillId="0" borderId="0" xfId="345" applyFont="1" applyAlignment="1">
      <alignment horizontal="right" vertical="center"/>
    </xf>
    <xf numFmtId="4" fontId="15" fillId="0" borderId="0" xfId="0" applyNumberFormat="1" applyFont="1" applyAlignment="1">
      <alignment horizontal="center" vertical="center" wrapText="1"/>
    </xf>
    <xf numFmtId="167" fontId="9" fillId="0" borderId="0" xfId="345" applyFont="1" applyAlignment="1">
      <alignment horizontal="center"/>
    </xf>
    <xf numFmtId="170" fontId="10" fillId="0" borderId="0" xfId="0" applyNumberFormat="1" applyFont="1" applyAlignment="1">
      <alignment vertical="center"/>
    </xf>
    <xf numFmtId="10" fontId="9" fillId="0" borderId="0" xfId="486" applyNumberFormat="1" applyFont="1"/>
    <xf numFmtId="164" fontId="41" fillId="0" borderId="0" xfId="0" applyNumberFormat="1" applyFont="1"/>
    <xf numFmtId="177" fontId="9" fillId="0" borderId="0" xfId="378"/>
    <xf numFmtId="180" fontId="9" fillId="0" borderId="0" xfId="345" applyNumberFormat="1" applyFont="1" applyAlignment="1">
      <alignment horizontal="right"/>
    </xf>
    <xf numFmtId="167" fontId="9" fillId="0" borderId="0" xfId="345" applyFont="1" applyFill="1" applyAlignment="1">
      <alignment horizontal="right"/>
    </xf>
    <xf numFmtId="167" fontId="9" fillId="37" borderId="0" xfId="345" applyFont="1" applyFill="1" applyAlignment="1">
      <alignment horizontal="right"/>
    </xf>
    <xf numFmtId="4" fontId="9" fillId="0" borderId="0" xfId="0" applyNumberFormat="1" applyFont="1" applyAlignment="1">
      <alignment vertical="center"/>
    </xf>
    <xf numFmtId="168" fontId="9" fillId="0" borderId="0" xfId="345" applyNumberFormat="1" applyFont="1" applyAlignment="1">
      <alignment horizontal="center" vertical="center"/>
    </xf>
    <xf numFmtId="174" fontId="15" fillId="0" borderId="0" xfId="323" applyFont="1"/>
    <xf numFmtId="0" fontId="10" fillId="0" borderId="61" xfId="0" applyFont="1" applyBorder="1" applyAlignment="1">
      <alignment horizontal="center" vertical="center" wrapText="1"/>
    </xf>
    <xf numFmtId="167" fontId="10" fillId="0" borderId="61" xfId="345" applyFont="1" applyBorder="1" applyAlignment="1">
      <alignment horizontal="center" vertical="center"/>
    </xf>
    <xf numFmtId="167" fontId="10" fillId="0" borderId="61" xfId="345" quotePrefix="1" applyFont="1" applyBorder="1" applyAlignment="1">
      <alignment horizontal="center" vertical="center"/>
    </xf>
    <xf numFmtId="177" fontId="9" fillId="0" borderId="61" xfId="379" applyBorder="1" applyAlignment="1">
      <alignment vertical="center"/>
    </xf>
    <xf numFmtId="167" fontId="9" fillId="0" borderId="61" xfId="0" applyNumberFormat="1" applyFont="1" applyBorder="1" applyAlignment="1">
      <alignment vertical="center"/>
    </xf>
    <xf numFmtId="0" fontId="9" fillId="0" borderId="61" xfId="0" applyFont="1" applyBorder="1" applyAlignment="1">
      <alignment horizontal="center" vertical="center"/>
    </xf>
    <xf numFmtId="0" fontId="11" fillId="0" borderId="61" xfId="408" applyBorder="1"/>
    <xf numFmtId="167" fontId="9" fillId="0" borderId="61" xfId="345" applyFont="1" applyBorder="1"/>
    <xf numFmtId="167" fontId="9" fillId="40" borderId="0" xfId="345" applyFill="1" applyAlignment="1">
      <alignment horizontal="center" vertical="center"/>
    </xf>
    <xf numFmtId="167" fontId="9" fillId="0" borderId="63" xfId="3371" applyBorder="1" applyAlignment="1">
      <alignment horizontal="center"/>
    </xf>
    <xf numFmtId="167" fontId="9" fillId="0" borderId="64" xfId="3371" applyBorder="1" applyAlignment="1">
      <alignment vertical="center"/>
    </xf>
    <xf numFmtId="182" fontId="10" fillId="0" borderId="0" xfId="345" applyNumberFormat="1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 wrapText="1"/>
    </xf>
    <xf numFmtId="167" fontId="9" fillId="0" borderId="0" xfId="345" applyFont="1" applyFill="1" applyAlignment="1">
      <alignment horizontal="right" vertical="center"/>
    </xf>
    <xf numFmtId="167" fontId="10" fillId="0" borderId="0" xfId="345" applyFont="1" applyFill="1" applyAlignment="1">
      <alignment horizontal="right" vertical="center"/>
    </xf>
    <xf numFmtId="0" fontId="11" fillId="0" borderId="65" xfId="408" applyBorder="1"/>
    <xf numFmtId="167" fontId="11" fillId="0" borderId="65" xfId="346" applyBorder="1"/>
    <xf numFmtId="0" fontId="0" fillId="0" borderId="61" xfId="0" applyBorder="1"/>
    <xf numFmtId="178" fontId="0" fillId="0" borderId="65" xfId="345" applyNumberFormat="1" applyFont="1" applyBorder="1"/>
    <xf numFmtId="167" fontId="9" fillId="0" borderId="61" xfId="345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0" fillId="0" borderId="65" xfId="0" applyBorder="1"/>
    <xf numFmtId="171" fontId="0" fillId="0" borderId="65" xfId="0" applyNumberFormat="1" applyBorder="1"/>
    <xf numFmtId="167" fontId="9" fillId="0" borderId="65" xfId="345" applyBorder="1"/>
    <xf numFmtId="0" fontId="0" fillId="0" borderId="65" xfId="0" applyBorder="1" applyAlignment="1">
      <alignment horizontal="center"/>
    </xf>
    <xf numFmtId="167" fontId="0" fillId="0" borderId="65" xfId="345" applyFont="1" applyBorder="1"/>
    <xf numFmtId="14" fontId="9" fillId="0" borderId="65" xfId="0" applyNumberFormat="1" applyFont="1" applyBorder="1" applyAlignment="1">
      <alignment horizontal="left" vertical="center" shrinkToFit="1"/>
    </xf>
    <xf numFmtId="167" fontId="9" fillId="0" borderId="65" xfId="345" applyFont="1" applyBorder="1"/>
    <xf numFmtId="0" fontId="9" fillId="0" borderId="0" xfId="0" applyFont="1" applyAlignment="1">
      <alignment horizontal="right" vertical="center"/>
    </xf>
    <xf numFmtId="0" fontId="9" fillId="0" borderId="66" xfId="0" applyFont="1" applyBorder="1"/>
    <xf numFmtId="167" fontId="9" fillId="0" borderId="66" xfId="345" applyFont="1" applyBorder="1"/>
    <xf numFmtId="0" fontId="9" fillId="0" borderId="0" xfId="0" applyFont="1" applyAlignment="1">
      <alignment horizontal="left" vertical="center"/>
    </xf>
    <xf numFmtId="173" fontId="9" fillId="0" borderId="0" xfId="345" applyNumberFormat="1" applyFont="1" applyAlignment="1">
      <alignment horizontal="left" vertical="center"/>
    </xf>
    <xf numFmtId="14" fontId="10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left" vertical="center"/>
    </xf>
    <xf numFmtId="0" fontId="9" fillId="108" borderId="0" xfId="0" applyFont="1" applyFill="1" applyAlignment="1">
      <alignment horizontal="left" vertical="center" wrapText="1"/>
    </xf>
    <xf numFmtId="0" fontId="117" fillId="0" borderId="0" xfId="0" applyFont="1" applyAlignment="1">
      <alignment vertical="center"/>
    </xf>
    <xf numFmtId="14" fontId="9" fillId="108" borderId="0" xfId="0" applyNumberFormat="1" applyFont="1" applyFill="1" applyAlignment="1">
      <alignment horizontal="left" vertical="center"/>
    </xf>
    <xf numFmtId="0" fontId="9" fillId="108" borderId="0" xfId="0" applyFont="1" applyFill="1" applyAlignment="1">
      <alignment horizontal="left" vertical="center"/>
    </xf>
    <xf numFmtId="0" fontId="10" fillId="0" borderId="0" xfId="0" applyFont="1" applyAlignment="1">
      <alignment vertical="center" wrapText="1"/>
    </xf>
    <xf numFmtId="173" fontId="10" fillId="0" borderId="0" xfId="0" applyNumberFormat="1" applyFont="1" applyAlignment="1">
      <alignment horizontal="center" vertical="center"/>
    </xf>
    <xf numFmtId="167" fontId="9" fillId="0" borderId="0" xfId="345" applyFont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0" fontId="117" fillId="0" borderId="0" xfId="0" applyFont="1"/>
    <xf numFmtId="173" fontId="9" fillId="0" borderId="0" xfId="0" applyNumberFormat="1" applyFont="1" applyAlignment="1">
      <alignment horizontal="center" vertical="center"/>
    </xf>
    <xf numFmtId="167" fontId="10" fillId="0" borderId="0" xfId="0" applyNumberFormat="1" applyFont="1" applyAlignment="1">
      <alignment vertical="center"/>
    </xf>
    <xf numFmtId="165" fontId="9" fillId="0" borderId="0" xfId="345" applyNumberFormat="1" applyFont="1" applyAlignment="1">
      <alignment horizontal="center" vertical="center"/>
    </xf>
    <xf numFmtId="169" fontId="9" fillId="0" borderId="0" xfId="345" applyNumberFormat="1" applyFont="1" applyAlignment="1">
      <alignment horizontal="center" vertical="center"/>
    </xf>
    <xf numFmtId="169" fontId="9" fillId="0" borderId="0" xfId="345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167" fontId="9" fillId="0" borderId="0" xfId="345" applyFont="1" applyAlignment="1">
      <alignment horizontal="center" vertical="center"/>
    </xf>
    <xf numFmtId="8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7" fontId="14" fillId="0" borderId="0" xfId="345" applyFont="1"/>
    <xf numFmtId="14" fontId="48" fillId="0" borderId="0" xfId="408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345" applyNumberFormat="1" applyFont="1"/>
    <xf numFmtId="0" fontId="10" fillId="0" borderId="0" xfId="408" applyFont="1" applyAlignment="1">
      <alignment vertical="center"/>
    </xf>
    <xf numFmtId="169" fontId="11" fillId="0" borderId="0" xfId="357" applyNumberFormat="1" applyAlignment="1">
      <alignment horizontal="center" vertical="center"/>
    </xf>
    <xf numFmtId="0" fontId="11" fillId="0" borderId="0" xfId="408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408" applyFont="1" applyAlignment="1">
      <alignment horizontal="right"/>
    </xf>
    <xf numFmtId="183" fontId="9" fillId="0" borderId="65" xfId="345" applyNumberFormat="1" applyBorder="1"/>
    <xf numFmtId="167" fontId="0" fillId="0" borderId="0" xfId="345" applyFont="1" applyAlignment="1">
      <alignment horizontal="right" vertical="center"/>
    </xf>
    <xf numFmtId="167" fontId="37" fillId="40" borderId="0" xfId="345" applyFont="1" applyFill="1" applyAlignment="1">
      <alignment horizontal="center" vertical="center"/>
    </xf>
    <xf numFmtId="167" fontId="0" fillId="0" borderId="0" xfId="345" applyFont="1" applyBorder="1"/>
    <xf numFmtId="170" fontId="0" fillId="0" borderId="0" xfId="345" applyNumberFormat="1" applyFont="1" applyBorder="1"/>
    <xf numFmtId="177" fontId="9" fillId="0" borderId="0" xfId="0" applyNumberFormat="1" applyFont="1" applyAlignment="1">
      <alignment vertical="center"/>
    </xf>
    <xf numFmtId="0" fontId="9" fillId="0" borderId="0" xfId="5638" applyAlignment="1">
      <alignment horizontal="center" vertical="center" wrapText="1"/>
    </xf>
    <xf numFmtId="0" fontId="9" fillId="0" borderId="0" xfId="5638" applyAlignment="1">
      <alignment vertical="center"/>
    </xf>
    <xf numFmtId="0" fontId="15" fillId="0" borderId="0" xfId="5638" applyFont="1" applyAlignment="1">
      <alignment horizontal="center" vertical="center" wrapText="1"/>
    </xf>
    <xf numFmtId="167" fontId="9" fillId="0" borderId="0" xfId="5638" applyNumberFormat="1" applyAlignment="1">
      <alignment vertical="center"/>
    </xf>
    <xf numFmtId="0" fontId="9" fillId="0" borderId="0" xfId="5638" applyAlignment="1">
      <alignment horizontal="center" vertical="center"/>
    </xf>
    <xf numFmtId="170" fontId="9" fillId="0" borderId="62" xfId="3371" applyNumberFormat="1" applyBorder="1" applyAlignment="1">
      <alignment vertical="center"/>
    </xf>
    <xf numFmtId="170" fontId="9" fillId="0" borderId="0" xfId="5638" applyNumberFormat="1" applyAlignment="1">
      <alignment vertical="center"/>
    </xf>
    <xf numFmtId="167" fontId="9" fillId="0" borderId="61" xfId="5638" applyNumberFormat="1" applyBorder="1" applyAlignment="1">
      <alignment vertical="center"/>
    </xf>
    <xf numFmtId="170" fontId="9" fillId="0" borderId="61" xfId="5638" applyNumberFormat="1" applyBorder="1" applyAlignment="1">
      <alignment vertical="center"/>
    </xf>
    <xf numFmtId="0" fontId="9" fillId="0" borderId="61" xfId="5638" applyBorder="1" applyAlignment="1">
      <alignment horizontal="center" vertical="center"/>
    </xf>
    <xf numFmtId="167" fontId="9" fillId="0" borderId="0" xfId="1711" applyNumberFormat="1"/>
    <xf numFmtId="177" fontId="14" fillId="0" borderId="0" xfId="379" applyFont="1" applyAlignment="1">
      <alignment vertical="center"/>
    </xf>
    <xf numFmtId="167" fontId="9" fillId="0" borderId="67" xfId="3371" applyBorder="1" applyAlignment="1">
      <alignment horizontal="center"/>
    </xf>
    <xf numFmtId="170" fontId="9" fillId="0" borderId="68" xfId="3371" applyNumberFormat="1" applyBorder="1" applyAlignment="1">
      <alignment vertical="center"/>
    </xf>
    <xf numFmtId="0" fontId="9" fillId="0" borderId="69" xfId="0" applyFont="1" applyBorder="1"/>
    <xf numFmtId="9" fontId="9" fillId="40" borderId="69" xfId="0" applyNumberFormat="1" applyFont="1" applyFill="1" applyBorder="1" applyAlignment="1">
      <alignment horizontal="center"/>
    </xf>
    <xf numFmtId="2" fontId="9" fillId="0" borderId="69" xfId="0" applyNumberFormat="1" applyFont="1" applyBorder="1" applyAlignment="1">
      <alignment horizontal="center"/>
    </xf>
    <xf numFmtId="2" fontId="0" fillId="0" borderId="69" xfId="0" applyNumberFormat="1" applyBorder="1" applyAlignment="1">
      <alignment horizontal="center"/>
    </xf>
    <xf numFmtId="0" fontId="10" fillId="0" borderId="69" xfId="0" applyFont="1" applyBorder="1"/>
    <xf numFmtId="167" fontId="9" fillId="0" borderId="71" xfId="345" applyFont="1" applyBorder="1" applyAlignment="1">
      <alignment horizontal="right"/>
    </xf>
    <xf numFmtId="0" fontId="9" fillId="0" borderId="0" xfId="5638" applyAlignment="1">
      <alignment horizontal="right"/>
    </xf>
    <xf numFmtId="0" fontId="10" fillId="0" borderId="65" xfId="0" applyFont="1" applyBorder="1" applyAlignment="1">
      <alignment horizontal="center"/>
    </xf>
    <xf numFmtId="0" fontId="9" fillId="0" borderId="0" xfId="0" applyFont="1" applyAlignment="1">
      <alignment horizontal="left"/>
    </xf>
    <xf numFmtId="167" fontId="13" fillId="0" borderId="0" xfId="0" applyNumberFormat="1" applyFont="1" applyAlignment="1">
      <alignment horizontal="center" vertical="center"/>
    </xf>
    <xf numFmtId="181" fontId="13" fillId="0" borderId="0" xfId="6171" applyFont="1"/>
    <xf numFmtId="181" fontId="13" fillId="0" borderId="0" xfId="6171" applyFont="1" applyAlignment="1">
      <alignment horizontal="center"/>
    </xf>
    <xf numFmtId="167" fontId="10" fillId="0" borderId="0" xfId="596" applyNumberFormat="1" applyFont="1" applyBorder="1" applyAlignment="1">
      <alignment horizontal="center" vertical="center"/>
    </xf>
    <xf numFmtId="197" fontId="10" fillId="0" borderId="0" xfId="3412" applyNumberFormat="1" applyFont="1" applyAlignment="1">
      <alignment horizontal="center"/>
    </xf>
    <xf numFmtId="181" fontId="9" fillId="0" borderId="0" xfId="3412"/>
    <xf numFmtId="181" fontId="14" fillId="0" borderId="0" xfId="6171" applyFont="1"/>
    <xf numFmtId="181" fontId="119" fillId="0" borderId="0" xfId="6171" applyFont="1"/>
    <xf numFmtId="2" fontId="13" fillId="0" borderId="0" xfId="6171" applyNumberFormat="1" applyFont="1"/>
    <xf numFmtId="14" fontId="13" fillId="0" borderId="0" xfId="6172" applyNumberFormat="1" applyFont="1" applyAlignment="1">
      <alignment horizontal="center"/>
    </xf>
    <xf numFmtId="4" fontId="13" fillId="0" borderId="0" xfId="6171" applyNumberFormat="1" applyFont="1"/>
    <xf numFmtId="4" fontId="119" fillId="0" borderId="0" xfId="6171" applyNumberFormat="1" applyFont="1"/>
    <xf numFmtId="167" fontId="9" fillId="0" borderId="0" xfId="596" applyNumberFormat="1" applyFont="1" applyAlignment="1">
      <alignment horizontal="center" vertical="center"/>
    </xf>
    <xf numFmtId="181" fontId="10" fillId="0" borderId="0" xfId="3412" applyFont="1"/>
    <xf numFmtId="181" fontId="122" fillId="0" borderId="0" xfId="6171" applyFont="1"/>
    <xf numFmtId="167" fontId="14" fillId="0" borderId="0" xfId="6173" applyFont="1" applyFill="1" applyBorder="1" applyAlignment="1">
      <alignment horizontal="center" vertical="center"/>
    </xf>
    <xf numFmtId="167" fontId="13" fillId="0" borderId="0" xfId="345" applyFont="1" applyBorder="1" applyAlignment="1">
      <alignment horizontal="center"/>
    </xf>
    <xf numFmtId="167" fontId="123" fillId="0" borderId="0" xfId="345" applyFont="1" applyBorder="1" applyAlignment="1">
      <alignment horizontal="center"/>
    </xf>
    <xf numFmtId="0" fontId="9" fillId="0" borderId="72" xfId="0" applyFont="1" applyBorder="1"/>
    <xf numFmtId="0" fontId="10" fillId="0" borderId="72" xfId="0" applyFont="1" applyBorder="1"/>
    <xf numFmtId="0" fontId="9" fillId="0" borderId="74" xfId="0" applyFont="1" applyBorder="1"/>
    <xf numFmtId="14" fontId="9" fillId="0" borderId="74" xfId="3411" applyNumberFormat="1" applyBorder="1" applyAlignment="1">
      <alignment horizontal="center" vertical="center" wrapText="1"/>
    </xf>
    <xf numFmtId="14" fontId="9" fillId="0" borderId="74" xfId="3411" applyNumberFormat="1" applyBorder="1" applyAlignment="1">
      <alignment horizontal="center"/>
    </xf>
    <xf numFmtId="9" fontId="9" fillId="40" borderId="74" xfId="486" applyFill="1" applyBorder="1" applyAlignment="1">
      <alignment horizontal="center" vertical="center"/>
    </xf>
    <xf numFmtId="167" fontId="9" fillId="0" borderId="65" xfId="596" applyNumberFormat="1" applyBorder="1" applyAlignment="1">
      <alignment horizontal="center"/>
    </xf>
    <xf numFmtId="167" fontId="9" fillId="0" borderId="74" xfId="345" applyBorder="1" applyAlignment="1">
      <alignment horizontal="center"/>
    </xf>
    <xf numFmtId="0" fontId="9" fillId="0" borderId="75" xfId="1711" applyBorder="1" applyAlignment="1">
      <alignment horizontal="left"/>
    </xf>
    <xf numFmtId="167" fontId="9" fillId="40" borderId="75" xfId="3371" applyFill="1" applyBorder="1" applyAlignment="1">
      <alignment vertical="center"/>
    </xf>
    <xf numFmtId="167" fontId="9" fillId="37" borderId="74" xfId="345" applyFill="1" applyBorder="1"/>
    <xf numFmtId="9" fontId="0" fillId="0" borderId="73" xfId="0" applyNumberFormat="1" applyBorder="1" applyAlignment="1">
      <alignment horizontal="center"/>
    </xf>
    <xf numFmtId="167" fontId="0" fillId="37" borderId="74" xfId="345" applyFont="1" applyFill="1" applyBorder="1"/>
    <xf numFmtId="0" fontId="0" fillId="0" borderId="69" xfId="0" applyBorder="1"/>
    <xf numFmtId="9" fontId="9" fillId="0" borderId="73" xfId="502" applyBorder="1" applyAlignment="1">
      <alignment horizontal="center"/>
    </xf>
    <xf numFmtId="167" fontId="10" fillId="0" borderId="71" xfId="345" applyFont="1" applyBorder="1" applyAlignment="1">
      <alignment horizontal="right"/>
    </xf>
    <xf numFmtId="0" fontId="0" fillId="0" borderId="72" xfId="0" applyBorder="1"/>
    <xf numFmtId="167" fontId="9" fillId="37" borderId="71" xfId="345" applyFont="1" applyFill="1" applyBorder="1" applyAlignment="1">
      <alignment horizontal="right"/>
    </xf>
    <xf numFmtId="4" fontId="120" fillId="0" borderId="0" xfId="6172" applyNumberFormat="1" applyFont="1" applyAlignment="1">
      <alignment horizontal="center" vertical="center" wrapText="1"/>
    </xf>
    <xf numFmtId="4" fontId="14" fillId="0" borderId="0" xfId="6172" applyNumberFormat="1" applyFont="1" applyAlignment="1">
      <alignment horizontal="center" vertical="center" wrapText="1"/>
    </xf>
    <xf numFmtId="167" fontId="13" fillId="0" borderId="0" xfId="6173" applyFont="1" applyBorder="1" applyAlignment="1">
      <alignment horizontal="center" vertical="center"/>
    </xf>
    <xf numFmtId="3" fontId="13" fillId="0" borderId="0" xfId="6172" applyNumberFormat="1" applyFont="1" applyAlignment="1">
      <alignment horizontal="center"/>
    </xf>
    <xf numFmtId="0" fontId="13" fillId="0" borderId="0" xfId="6172" applyNumberFormat="1" applyFont="1" applyAlignment="1">
      <alignment horizontal="center"/>
    </xf>
    <xf numFmtId="10" fontId="13" fillId="37" borderId="0" xfId="6172" applyNumberFormat="1" applyFont="1" applyFill="1" applyAlignment="1">
      <alignment horizontal="center"/>
    </xf>
    <xf numFmtId="181" fontId="14" fillId="0" borderId="0" xfId="6172" applyFont="1" applyAlignment="1">
      <alignment vertical="center"/>
    </xf>
    <xf numFmtId="3" fontId="14" fillId="0" borderId="0" xfId="6172" applyNumberFormat="1" applyFont="1" applyAlignment="1">
      <alignment horizontal="center" vertical="center"/>
    </xf>
    <xf numFmtId="167" fontId="14" fillId="0" borderId="0" xfId="6172" applyNumberFormat="1" applyFont="1" applyAlignment="1">
      <alignment vertical="center"/>
    </xf>
    <xf numFmtId="167" fontId="14" fillId="0" borderId="0" xfId="6173" applyFont="1" applyBorder="1" applyAlignment="1">
      <alignment horizontal="center" vertical="center"/>
    </xf>
    <xf numFmtId="14" fontId="119" fillId="0" borderId="0" xfId="6172" applyNumberFormat="1" applyFont="1" applyAlignment="1">
      <alignment horizontal="center"/>
    </xf>
    <xf numFmtId="167" fontId="123" fillId="0" borderId="0" xfId="6173" applyFont="1" applyBorder="1" applyAlignment="1">
      <alignment horizontal="center" vertical="center"/>
    </xf>
    <xf numFmtId="0" fontId="13" fillId="0" borderId="0" xfId="6171" applyNumberFormat="1" applyFont="1"/>
    <xf numFmtId="167" fontId="119" fillId="0" borderId="0" xfId="345" applyFont="1" applyBorder="1" applyAlignment="1">
      <alignment horizontal="center"/>
    </xf>
    <xf numFmtId="167" fontId="119" fillId="0" borderId="0" xfId="6173" applyFont="1" applyBorder="1" applyAlignment="1">
      <alignment horizontal="center" vertical="center"/>
    </xf>
    <xf numFmtId="178" fontId="0" fillId="0" borderId="0" xfId="345" applyNumberFormat="1" applyFont="1"/>
    <xf numFmtId="4" fontId="57" fillId="0" borderId="0" xfId="0" applyNumberFormat="1" applyFont="1" applyAlignment="1">
      <alignment horizontal="center"/>
    </xf>
    <xf numFmtId="9" fontId="9" fillId="0" borderId="73" xfId="0" applyNumberFormat="1" applyFont="1" applyBorder="1" applyAlignment="1">
      <alignment horizontal="center" vertical="center" wrapText="1"/>
    </xf>
    <xf numFmtId="0" fontId="0" fillId="0" borderId="74" xfId="0" applyBorder="1"/>
    <xf numFmtId="167" fontId="10" fillId="0" borderId="66" xfId="0" applyNumberFormat="1" applyFont="1" applyBorder="1" applyAlignment="1">
      <alignment horizontal="center" vertical="center"/>
    </xf>
    <xf numFmtId="0" fontId="9" fillId="0" borderId="66" xfId="0" applyFont="1" applyBorder="1" applyAlignment="1">
      <alignment horizontal="left" vertical="center" wrapText="1"/>
    </xf>
    <xf numFmtId="167" fontId="9" fillId="0" borderId="74" xfId="345" applyFont="1" applyBorder="1" applyAlignment="1">
      <alignment horizontal="center"/>
    </xf>
    <xf numFmtId="0" fontId="10" fillId="0" borderId="75" xfId="1711" applyFont="1" applyBorder="1" applyAlignment="1">
      <alignment horizontal="center" vertical="center"/>
    </xf>
    <xf numFmtId="0" fontId="9" fillId="0" borderId="75" xfId="1711" applyBorder="1" applyAlignment="1">
      <alignment horizontal="center"/>
    </xf>
    <xf numFmtId="168" fontId="9" fillId="0" borderId="75" xfId="3371" applyNumberFormat="1" applyBorder="1" applyAlignment="1">
      <alignment horizontal="center"/>
    </xf>
    <xf numFmtId="0" fontId="9" fillId="0" borderId="72" xfId="0" applyFont="1" applyBorder="1" applyAlignment="1">
      <alignment horizontal="left" vertical="center" wrapText="1"/>
    </xf>
    <xf numFmtId="177" fontId="9" fillId="0" borderId="71" xfId="0" applyNumberFormat="1" applyFont="1" applyBorder="1" applyAlignment="1">
      <alignment vertical="center"/>
    </xf>
    <xf numFmtId="167" fontId="9" fillId="0" borderId="74" xfId="345" applyFont="1" applyBorder="1"/>
    <xf numFmtId="167" fontId="9" fillId="0" borderId="74" xfId="380" applyFont="1" applyBorder="1" applyAlignment="1">
      <alignment horizontal="left" vertical="center"/>
    </xf>
    <xf numFmtId="14" fontId="9" fillId="0" borderId="74" xfId="0" applyNumberFormat="1" applyFont="1" applyBorder="1" applyAlignment="1">
      <alignment horizontal="left" vertical="center"/>
    </xf>
    <xf numFmtId="182" fontId="9" fillId="37" borderId="74" xfId="345" applyNumberFormat="1" applyFont="1" applyFill="1" applyBorder="1" applyAlignment="1">
      <alignment vertical="center"/>
    </xf>
    <xf numFmtId="167" fontId="13" fillId="0" borderId="74" xfId="6173" applyFont="1" applyBorder="1" applyAlignment="1">
      <alignment horizontal="center" vertical="center"/>
    </xf>
    <xf numFmtId="14" fontId="13" fillId="0" borderId="74" xfId="6172" applyNumberFormat="1" applyFont="1" applyBorder="1" applyAlignment="1">
      <alignment horizontal="center"/>
    </xf>
    <xf numFmtId="0" fontId="13" fillId="0" borderId="74" xfId="6172" applyNumberFormat="1" applyFont="1" applyBorder="1" applyAlignment="1">
      <alignment horizontal="center"/>
    </xf>
    <xf numFmtId="10" fontId="13" fillId="37" borderId="74" xfId="6172" applyNumberFormat="1" applyFont="1" applyFill="1" applyBorder="1" applyAlignment="1">
      <alignment horizontal="center"/>
    </xf>
    <xf numFmtId="3" fontId="121" fillId="0" borderId="74" xfId="3412" applyNumberFormat="1" applyFont="1" applyBorder="1" applyAlignment="1">
      <alignment vertical="top"/>
    </xf>
    <xf numFmtId="14" fontId="119" fillId="0" borderId="74" xfId="6172" applyNumberFormat="1" applyFont="1" applyBorder="1" applyAlignment="1">
      <alignment horizontal="center"/>
    </xf>
    <xf numFmtId="10" fontId="119" fillId="37" borderId="74" xfId="6172" applyNumberFormat="1" applyFont="1" applyFill="1" applyBorder="1" applyAlignment="1">
      <alignment horizontal="center"/>
    </xf>
    <xf numFmtId="167" fontId="119" fillId="0" borderId="74" xfId="6173" applyFont="1" applyBorder="1" applyAlignment="1">
      <alignment horizontal="center" vertical="center"/>
    </xf>
    <xf numFmtId="3" fontId="9" fillId="0" borderId="74" xfId="3412" applyNumberFormat="1" applyBorder="1" applyAlignment="1">
      <alignment horizontal="center"/>
    </xf>
    <xf numFmtId="0" fontId="11" fillId="0" borderId="74" xfId="408" applyBorder="1" applyAlignment="1">
      <alignment horizontal="center"/>
    </xf>
    <xf numFmtId="4" fontId="10" fillId="0" borderId="74" xfId="408" applyNumberFormat="1" applyFont="1" applyBorder="1" applyAlignment="1">
      <alignment horizontal="center" vertical="center" wrapText="1"/>
    </xf>
    <xf numFmtId="167" fontId="11" fillId="0" borderId="74" xfId="357" applyNumberFormat="1" applyBorder="1" applyAlignment="1">
      <alignment horizontal="center" vertical="center"/>
    </xf>
    <xf numFmtId="167" fontId="11" fillId="0" borderId="74" xfId="357" applyNumberFormat="1" applyBorder="1" applyAlignment="1">
      <alignment horizontal="center"/>
    </xf>
    <xf numFmtId="167" fontId="9" fillId="0" borderId="74" xfId="596" applyNumberFormat="1" applyBorder="1" applyAlignment="1">
      <alignment horizontal="center"/>
    </xf>
    <xf numFmtId="14" fontId="58" fillId="0" borderId="74" xfId="408" applyNumberFormat="1" applyFont="1" applyBorder="1" applyAlignment="1">
      <alignment horizontal="center"/>
    </xf>
    <xf numFmtId="14" fontId="11" fillId="0" borderId="74" xfId="408" applyNumberFormat="1" applyBorder="1" applyAlignment="1">
      <alignment horizontal="center"/>
    </xf>
    <xf numFmtId="14" fontId="9" fillId="0" borderId="74" xfId="408" applyNumberFormat="1" applyFont="1" applyBorder="1" applyAlignment="1">
      <alignment horizontal="center"/>
    </xf>
    <xf numFmtId="10" fontId="9" fillId="40" borderId="74" xfId="486" applyNumberFormat="1" applyFill="1" applyBorder="1" applyAlignment="1">
      <alignment horizontal="center" vertical="center"/>
    </xf>
    <xf numFmtId="0" fontId="9" fillId="0" borderId="75" xfId="0" applyFont="1" applyBorder="1" applyAlignment="1">
      <alignment horizontal="left" vertical="center" wrapText="1"/>
    </xf>
    <xf numFmtId="9" fontId="9" fillId="0" borderId="71" xfId="378" applyNumberFormat="1" applyBorder="1" applyAlignment="1">
      <alignment horizontal="center"/>
    </xf>
    <xf numFmtId="167" fontId="9" fillId="0" borderId="71" xfId="345" applyBorder="1" applyAlignment="1">
      <alignment horizontal="center"/>
    </xf>
    <xf numFmtId="14" fontId="37" fillId="0" borderId="72" xfId="0" applyNumberFormat="1" applyFont="1" applyBorder="1"/>
    <xf numFmtId="167" fontId="9" fillId="37" borderId="74" xfId="345" applyFont="1" applyFill="1" applyBorder="1"/>
    <xf numFmtId="0" fontId="9" fillId="0" borderId="75" xfId="0" applyFont="1" applyBorder="1" applyAlignment="1">
      <alignment horizontal="left"/>
    </xf>
    <xf numFmtId="9" fontId="9" fillId="0" borderId="75" xfId="378" applyNumberFormat="1" applyBorder="1" applyAlignment="1">
      <alignment horizontal="center"/>
    </xf>
    <xf numFmtId="167" fontId="9" fillId="37" borderId="71" xfId="345" applyFill="1" applyBorder="1" applyAlignment="1">
      <alignment horizontal="center"/>
    </xf>
    <xf numFmtId="0" fontId="0" fillId="0" borderId="73" xfId="0" applyBorder="1" applyAlignment="1">
      <alignment horizontal="center" vertical="center" wrapText="1"/>
    </xf>
    <xf numFmtId="180" fontId="9" fillId="0" borderId="71" xfId="345" applyNumberFormat="1" applyFont="1" applyBorder="1" applyAlignment="1">
      <alignment horizontal="center" vertical="center" wrapText="1"/>
    </xf>
    <xf numFmtId="0" fontId="58" fillId="0" borderId="69" xfId="0" applyFont="1" applyBorder="1"/>
    <xf numFmtId="0" fontId="10" fillId="0" borderId="76" xfId="0" applyFont="1" applyBorder="1"/>
    <xf numFmtId="9" fontId="0" fillId="0" borderId="69" xfId="0" applyNumberFormat="1" applyBorder="1" applyAlignment="1">
      <alignment horizontal="center"/>
    </xf>
    <xf numFmtId="164" fontId="9" fillId="0" borderId="69" xfId="0" applyNumberFormat="1" applyFont="1" applyBorder="1"/>
    <xf numFmtId="0" fontId="116" fillId="0" borderId="72" xfId="0" applyFont="1" applyBorder="1"/>
    <xf numFmtId="167" fontId="9" fillId="0" borderId="70" xfId="345" applyFont="1" applyBorder="1"/>
    <xf numFmtId="167" fontId="9" fillId="0" borderId="73" xfId="345" applyBorder="1" applyAlignment="1">
      <alignment horizontal="center"/>
    </xf>
    <xf numFmtId="0" fontId="10" fillId="0" borderId="72" xfId="0" applyFont="1" applyBorder="1" applyAlignment="1">
      <alignment horizontal="left"/>
    </xf>
    <xf numFmtId="4" fontId="9" fillId="0" borderId="72" xfId="0" applyNumberFormat="1" applyFont="1" applyBorder="1"/>
    <xf numFmtId="0" fontId="10" fillId="0" borderId="7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vertical="center"/>
    </xf>
    <xf numFmtId="0" fontId="94" fillId="0" borderId="0" xfId="0" applyFont="1" applyAlignment="1">
      <alignment vertical="center"/>
    </xf>
    <xf numFmtId="167" fontId="9" fillId="0" borderId="0" xfId="345" applyFont="1" applyBorder="1" applyAlignment="1">
      <alignment horizontal="center" vertical="center"/>
    </xf>
    <xf numFmtId="170" fontId="9" fillId="0" borderId="0" xfId="345" applyNumberFormat="1" applyFont="1" applyBorder="1" applyAlignment="1">
      <alignment horizontal="center" vertical="center"/>
    </xf>
    <xf numFmtId="3" fontId="9" fillId="0" borderId="61" xfId="0" applyNumberFormat="1" applyFont="1" applyBorder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2" fontId="15" fillId="0" borderId="0" xfId="0" applyNumberFormat="1" applyFont="1" applyAlignment="1">
      <alignment vertical="center"/>
    </xf>
    <xf numFmtId="181" fontId="9" fillId="40" borderId="0" xfId="0" applyNumberFormat="1" applyFont="1" applyFill="1" applyAlignment="1">
      <alignment horizontal="center" vertical="center"/>
    </xf>
    <xf numFmtId="184" fontId="37" fillId="109" borderId="0" xfId="345" applyNumberFormat="1" applyFont="1" applyFill="1" applyBorder="1" applyAlignment="1">
      <alignment horizontal="right" vertical="center"/>
    </xf>
    <xf numFmtId="167" fontId="15" fillId="0" borderId="0" xfId="345" applyFont="1" applyAlignment="1">
      <alignment vertical="center"/>
    </xf>
    <xf numFmtId="165" fontId="10" fillId="0" borderId="61" xfId="0" applyNumberFormat="1" applyFont="1" applyBorder="1" applyAlignment="1">
      <alignment horizontal="center" vertical="center"/>
    </xf>
    <xf numFmtId="182" fontId="9" fillId="0" borderId="61" xfId="345" applyNumberFormat="1" applyFont="1" applyBorder="1" applyAlignment="1">
      <alignment horizontal="right" vertical="center"/>
    </xf>
    <xf numFmtId="16" fontId="9" fillId="0" borderId="61" xfId="0" applyNumberFormat="1" applyFont="1" applyBorder="1" applyAlignment="1">
      <alignment vertical="center"/>
    </xf>
    <xf numFmtId="167" fontId="10" fillId="0" borderId="61" xfId="345" applyFont="1" applyBorder="1" applyAlignment="1">
      <alignment vertical="center"/>
    </xf>
    <xf numFmtId="167" fontId="10" fillId="0" borderId="66" xfId="345" applyFont="1" applyBorder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82" fontId="9" fillId="0" borderId="0" xfId="345" applyNumberFormat="1" applyFont="1" applyAlignment="1">
      <alignment horizontal="right" vertical="center"/>
    </xf>
    <xf numFmtId="16" fontId="9" fillId="0" borderId="0" xfId="0" applyNumberFormat="1" applyFont="1" applyAlignment="1">
      <alignment vertical="center"/>
    </xf>
    <xf numFmtId="167" fontId="10" fillId="0" borderId="0" xfId="345" applyFont="1" applyAlignment="1">
      <alignment vertical="center"/>
    </xf>
    <xf numFmtId="14" fontId="9" fillId="0" borderId="0" xfId="0" applyNumberFormat="1" applyFont="1" applyAlignment="1">
      <alignment vertical="center"/>
    </xf>
    <xf numFmtId="167" fontId="9" fillId="0" borderId="0" xfId="345" applyFill="1" applyAlignment="1">
      <alignment horizontal="center" vertical="center"/>
    </xf>
    <xf numFmtId="181" fontId="9" fillId="0" borderId="0" xfId="0" applyNumberFormat="1" applyFont="1" applyAlignment="1">
      <alignment horizontal="center" vertical="center"/>
    </xf>
    <xf numFmtId="0" fontId="15" fillId="35" borderId="0" xfId="0" applyFont="1" applyFill="1" applyAlignment="1">
      <alignment vertical="center"/>
    </xf>
    <xf numFmtId="0" fontId="9" fillId="35" borderId="61" xfId="0" applyFont="1" applyFill="1" applyBorder="1" applyAlignment="1">
      <alignment vertical="center"/>
    </xf>
    <xf numFmtId="167" fontId="9" fillId="35" borderId="61" xfId="345" applyFont="1" applyFill="1" applyBorder="1" applyAlignment="1">
      <alignment vertical="center"/>
    </xf>
    <xf numFmtId="0" fontId="9" fillId="35" borderId="0" xfId="0" applyFont="1" applyFill="1" applyAlignment="1">
      <alignment vertical="center"/>
    </xf>
    <xf numFmtId="0" fontId="94" fillId="35" borderId="0" xfId="0" applyFont="1" applyFill="1" applyAlignment="1">
      <alignment vertical="center"/>
    </xf>
    <xf numFmtId="0" fontId="9" fillId="0" borderId="66" xfId="0" applyFont="1" applyBorder="1" applyAlignment="1">
      <alignment vertical="center"/>
    </xf>
    <xf numFmtId="0" fontId="9" fillId="0" borderId="65" xfId="0" applyFont="1" applyBorder="1" applyAlignment="1">
      <alignment vertical="center"/>
    </xf>
    <xf numFmtId="0" fontId="92" fillId="0" borderId="0" xfId="0" applyFont="1" applyAlignment="1">
      <alignment vertical="center"/>
    </xf>
    <xf numFmtId="168" fontId="9" fillId="0" borderId="0" xfId="345" applyNumberFormat="1" applyFont="1" applyFill="1" applyAlignment="1">
      <alignment horizontal="center" vertical="center"/>
    </xf>
    <xf numFmtId="167" fontId="9" fillId="0" borderId="0" xfId="345" applyFont="1" applyFill="1" applyAlignment="1">
      <alignment horizontal="center" vertical="center"/>
    </xf>
    <xf numFmtId="167" fontId="9" fillId="0" borderId="0" xfId="345" applyFont="1" applyFill="1" applyAlignment="1">
      <alignment vertical="center"/>
    </xf>
    <xf numFmtId="167" fontId="0" fillId="0" borderId="0" xfId="345" applyFont="1" applyFill="1" applyAlignment="1">
      <alignment horizontal="right" vertical="center"/>
    </xf>
    <xf numFmtId="167" fontId="15" fillId="0" borderId="0" xfId="345" applyFont="1" applyFill="1" applyAlignment="1">
      <alignment horizontal="center" vertical="center" wrapText="1"/>
    </xf>
    <xf numFmtId="184" fontId="37" fillId="0" borderId="0" xfId="345" applyNumberFormat="1" applyFont="1" applyFill="1" applyBorder="1" applyAlignment="1">
      <alignment horizontal="right" vertical="center"/>
    </xf>
    <xf numFmtId="167" fontId="15" fillId="0" borderId="0" xfId="345" applyFont="1" applyFill="1" applyAlignment="1">
      <alignment vertical="center"/>
    </xf>
    <xf numFmtId="167" fontId="0" fillId="0" borderId="76" xfId="345" applyFont="1" applyFill="1" applyBorder="1"/>
    <xf numFmtId="0" fontId="10" fillId="0" borderId="69" xfId="0" applyFont="1" applyBorder="1" applyAlignment="1">
      <alignment vertical="center"/>
    </xf>
    <xf numFmtId="0" fontId="9" fillId="0" borderId="69" xfId="0" applyFont="1" applyBorder="1" applyAlignment="1">
      <alignment vertical="center"/>
    </xf>
    <xf numFmtId="0" fontId="9" fillId="0" borderId="69" xfId="0" applyFont="1" applyBorder="1" applyAlignment="1">
      <alignment horizontal="center" vertical="center" wrapText="1"/>
    </xf>
    <xf numFmtId="0" fontId="10" fillId="0" borderId="69" xfId="0" applyFont="1" applyBorder="1" applyAlignment="1">
      <alignment vertical="center" wrapText="1"/>
    </xf>
    <xf numFmtId="167" fontId="9" fillId="0" borderId="69" xfId="345" applyFont="1" applyBorder="1" applyAlignment="1">
      <alignment vertical="center"/>
    </xf>
    <xf numFmtId="167" fontId="15" fillId="0" borderId="0" xfId="0" applyNumberFormat="1" applyFont="1" applyAlignment="1">
      <alignment horizontal="right" vertical="center"/>
    </xf>
    <xf numFmtId="3" fontId="48" fillId="0" borderId="0" xfId="3411" applyNumberFormat="1" applyFont="1"/>
    <xf numFmtId="3" fontId="10" fillId="0" borderId="0" xfId="3411" applyNumberFormat="1" applyFont="1"/>
    <xf numFmtId="14" fontId="10" fillId="0" borderId="0" xfId="3411" applyNumberFormat="1" applyFont="1"/>
    <xf numFmtId="0" fontId="9" fillId="0" borderId="0" xfId="3411" applyAlignment="1">
      <alignment vertical="center"/>
    </xf>
    <xf numFmtId="0" fontId="9" fillId="0" borderId="0" xfId="3411" applyAlignment="1">
      <alignment horizontal="center"/>
    </xf>
    <xf numFmtId="0" fontId="10" fillId="0" borderId="0" xfId="3411" applyFont="1" applyAlignment="1">
      <alignment horizontal="center"/>
    </xf>
    <xf numFmtId="0" fontId="10" fillId="0" borderId="61" xfId="3411" applyFont="1" applyBorder="1" applyAlignment="1">
      <alignment horizontal="center"/>
    </xf>
    <xf numFmtId="0" fontId="9" fillId="0" borderId="0" xfId="2094"/>
    <xf numFmtId="0" fontId="9" fillId="0" borderId="65" xfId="3411" applyBorder="1"/>
    <xf numFmtId="0" fontId="40" fillId="0" borderId="0" xfId="3411" applyFont="1"/>
    <xf numFmtId="49" fontId="9" fillId="0" borderId="0" xfId="3411" applyNumberFormat="1"/>
    <xf numFmtId="0" fontId="9" fillId="0" borderId="0" xfId="3411" quotePrefix="1"/>
    <xf numFmtId="0" fontId="14" fillId="0" borderId="0" xfId="3411" applyFont="1" applyAlignment="1">
      <alignment horizontal="center"/>
    </xf>
    <xf numFmtId="0" fontId="9" fillId="0" borderId="61" xfId="3411" applyBorder="1"/>
    <xf numFmtId="0" fontId="9" fillId="0" borderId="61" xfId="3411" applyBorder="1" applyAlignment="1">
      <alignment horizontal="center"/>
    </xf>
    <xf numFmtId="49" fontId="9" fillId="0" borderId="61" xfId="3411" applyNumberFormat="1" applyBorder="1"/>
    <xf numFmtId="164" fontId="9" fillId="0" borderId="0" xfId="6174" applyFont="1" applyAlignment="1">
      <alignment horizontal="right" indent="1"/>
    </xf>
    <xf numFmtId="0" fontId="10" fillId="0" borderId="0" xfId="3411" applyFont="1"/>
    <xf numFmtId="3" fontId="57" fillId="0" borderId="21" xfId="3411" applyNumberFormat="1" applyFont="1" applyBorder="1" applyAlignment="1">
      <alignment horizontal="right" indent="1"/>
    </xf>
    <xf numFmtId="0" fontId="10" fillId="0" borderId="0" xfId="3411" applyFont="1" applyAlignment="1">
      <alignment horizontal="left"/>
    </xf>
    <xf numFmtId="0" fontId="57" fillId="0" borderId="0" xfId="3411" applyFont="1"/>
    <xf numFmtId="3" fontId="9" fillId="0" borderId="0" xfId="3411" applyNumberFormat="1" applyAlignment="1">
      <alignment horizontal="right" indent="1"/>
    </xf>
    <xf numFmtId="0" fontId="10" fillId="0" borderId="0" xfId="2094" applyFont="1" applyAlignment="1">
      <alignment vertical="center"/>
    </xf>
    <xf numFmtId="14" fontId="14" fillId="0" borderId="0" xfId="2094" applyNumberFormat="1" applyFont="1" applyAlignment="1">
      <alignment horizontal="center" vertical="center"/>
    </xf>
    <xf numFmtId="0" fontId="13" fillId="0" borderId="0" xfId="2094" applyFont="1" applyAlignment="1">
      <alignment horizontal="left" vertical="center"/>
    </xf>
    <xf numFmtId="0" fontId="18" fillId="0" borderId="0" xfId="2094" applyFont="1"/>
    <xf numFmtId="0" fontId="13" fillId="0" borderId="0" xfId="2094" applyFont="1" applyAlignment="1">
      <alignment vertical="center"/>
    </xf>
    <xf numFmtId="0" fontId="12" fillId="0" borderId="0" xfId="2094" applyFont="1" applyAlignment="1">
      <alignment horizontal="center"/>
    </xf>
    <xf numFmtId="0" fontId="18" fillId="0" borderId="0" xfId="2094" applyFont="1" applyAlignment="1">
      <alignment horizontal="center"/>
    </xf>
    <xf numFmtId="0" fontId="10" fillId="37" borderId="0" xfId="2094" applyFont="1" applyFill="1"/>
    <xf numFmtId="0" fontId="18" fillId="0" borderId="0" xfId="2094" applyFont="1" applyAlignment="1">
      <alignment horizontal="left"/>
    </xf>
    <xf numFmtId="0" fontId="10" fillId="0" borderId="0" xfId="2094" applyFont="1" applyAlignment="1">
      <alignment horizontal="center"/>
    </xf>
    <xf numFmtId="0" fontId="18" fillId="0" borderId="11" xfId="2094" applyFont="1" applyBorder="1"/>
    <xf numFmtId="0" fontId="18" fillId="0" borderId="12" xfId="2094" applyFont="1" applyBorder="1"/>
    <xf numFmtId="0" fontId="18" fillId="0" borderId="13" xfId="2094" applyFont="1" applyBorder="1"/>
    <xf numFmtId="14" fontId="12" fillId="0" borderId="19" xfId="2094" applyNumberFormat="1" applyFont="1" applyBorder="1" applyAlignment="1">
      <alignment horizontal="center"/>
    </xf>
    <xf numFmtId="0" fontId="12" fillId="0" borderId="12" xfId="2094" applyFont="1" applyBorder="1"/>
    <xf numFmtId="3" fontId="18" fillId="0" borderId="19" xfId="2094" applyNumberFormat="1" applyFont="1" applyBorder="1"/>
    <xf numFmtId="168" fontId="18" fillId="37" borderId="19" xfId="3543" applyNumberFormat="1" applyFont="1" applyFill="1" applyBorder="1"/>
    <xf numFmtId="4" fontId="9" fillId="0" borderId="0" xfId="2094" applyNumberFormat="1"/>
    <xf numFmtId="0" fontId="12" fillId="0" borderId="0" xfId="2094" applyFont="1"/>
    <xf numFmtId="0" fontId="18" fillId="0" borderId="0" xfId="2094" applyFont="1" applyAlignment="1">
      <alignment horizontal="right"/>
    </xf>
    <xf numFmtId="3" fontId="18" fillId="37" borderId="19" xfId="2094" applyNumberFormat="1" applyFont="1" applyFill="1" applyBorder="1"/>
    <xf numFmtId="0" fontId="12" fillId="0" borderId="12" xfId="2094" applyFont="1" applyBorder="1" applyAlignment="1">
      <alignment horizontal="center"/>
    </xf>
    <xf numFmtId="0" fontId="12" fillId="0" borderId="13" xfId="2094" applyFont="1" applyBorder="1" applyAlignment="1">
      <alignment horizontal="center"/>
    </xf>
    <xf numFmtId="168" fontId="12" fillId="0" borderId="19" xfId="3543" applyNumberFormat="1" applyFont="1" applyBorder="1"/>
    <xf numFmtId="0" fontId="12" fillId="0" borderId="12" xfId="2094" applyFont="1" applyBorder="1" applyAlignment="1">
      <alignment horizontal="left"/>
    </xf>
    <xf numFmtId="0" fontId="12" fillId="0" borderId="0" xfId="2094" applyFont="1" applyAlignment="1">
      <alignment horizontal="left"/>
    </xf>
    <xf numFmtId="168" fontId="12" fillId="0" borderId="21" xfId="3543" applyNumberFormat="1" applyFont="1" applyBorder="1"/>
    <xf numFmtId="0" fontId="18" fillId="0" borderId="19" xfId="2094" applyFont="1" applyBorder="1"/>
    <xf numFmtId="43" fontId="18" fillId="0" borderId="19" xfId="6175" applyFont="1" applyFill="1" applyBorder="1"/>
    <xf numFmtId="0" fontId="9" fillId="0" borderId="0" xfId="2094" quotePrefix="1"/>
    <xf numFmtId="0" fontId="18" fillId="0" borderId="14" xfId="2094" applyFont="1" applyBorder="1"/>
    <xf numFmtId="0" fontId="18" fillId="0" borderId="15" xfId="2094" applyFont="1" applyBorder="1"/>
    <xf numFmtId="3" fontId="18" fillId="0" borderId="21" xfId="2094" applyNumberFormat="1" applyFont="1" applyBorder="1"/>
    <xf numFmtId="0" fontId="18" fillId="0" borderId="16" xfId="2094" applyFont="1" applyBorder="1"/>
    <xf numFmtId="0" fontId="18" fillId="0" borderId="17" xfId="2094" applyFont="1" applyBorder="1"/>
    <xf numFmtId="0" fontId="18" fillId="0" borderId="18" xfId="2094" applyFont="1" applyBorder="1"/>
    <xf numFmtId="0" fontId="18" fillId="0" borderId="22" xfId="2094" applyFont="1" applyBorder="1"/>
    <xf numFmtId="168" fontId="12" fillId="0" borderId="19" xfId="3543" applyNumberFormat="1" applyFont="1" applyBorder="1" applyAlignment="1">
      <alignment vertical="center"/>
    </xf>
    <xf numFmtId="168" fontId="12" fillId="0" borderId="23" xfId="3543" applyNumberFormat="1" applyFont="1" applyBorder="1" applyAlignment="1">
      <alignment vertical="center"/>
    </xf>
    <xf numFmtId="167" fontId="18" fillId="0" borderId="0" xfId="3543" applyFont="1" applyFill="1"/>
    <xf numFmtId="167" fontId="18" fillId="40" borderId="0" xfId="3543" applyFont="1" applyFill="1"/>
    <xf numFmtId="167" fontId="18" fillId="0" borderId="0" xfId="3543" applyFont="1"/>
    <xf numFmtId="167" fontId="90" fillId="0" borderId="0" xfId="3543" applyFont="1" applyAlignment="1">
      <alignment horizontal="center"/>
    </xf>
    <xf numFmtId="0" fontId="9" fillId="0" borderId="16" xfId="2094" applyBorder="1" applyAlignment="1">
      <alignment vertical="center"/>
    </xf>
    <xf numFmtId="0" fontId="9" fillId="0" borderId="17" xfId="2094" applyBorder="1" applyAlignment="1">
      <alignment vertical="center"/>
    </xf>
    <xf numFmtId="0" fontId="9" fillId="0" borderId="18" xfId="2094" applyBorder="1"/>
    <xf numFmtId="0" fontId="9" fillId="0" borderId="12" xfId="2094" applyBorder="1" applyAlignment="1">
      <alignment vertical="center"/>
    </xf>
    <xf numFmtId="0" fontId="9" fillId="0" borderId="13" xfId="2094" applyBorder="1"/>
    <xf numFmtId="168" fontId="9" fillId="0" borderId="0" xfId="2094" applyNumberFormat="1" applyAlignment="1">
      <alignment vertical="center"/>
    </xf>
    <xf numFmtId="10" fontId="9" fillId="0" borderId="0" xfId="2094" applyNumberFormat="1" applyAlignment="1">
      <alignment horizontal="center" vertical="center"/>
    </xf>
    <xf numFmtId="0" fontId="9" fillId="0" borderId="14" xfId="2094" applyBorder="1" applyAlignment="1">
      <alignment vertical="center"/>
    </xf>
    <xf numFmtId="0" fontId="9" fillId="0" borderId="11" xfId="2094" applyBorder="1" applyAlignment="1">
      <alignment vertical="center"/>
    </xf>
    <xf numFmtId="0" fontId="9" fillId="0" borderId="15" xfId="2094" applyBorder="1"/>
    <xf numFmtId="0" fontId="48" fillId="0" borderId="0" xfId="3411" applyFont="1" applyAlignment="1">
      <alignment horizontal="center"/>
    </xf>
    <xf numFmtId="0" fontId="47" fillId="0" borderId="0" xfId="3411" applyFont="1"/>
    <xf numFmtId="0" fontId="48" fillId="0" borderId="0" xfId="3411" applyFont="1"/>
    <xf numFmtId="14" fontId="47" fillId="0" borderId="0" xfId="3411" applyNumberFormat="1" applyFont="1"/>
    <xf numFmtId="14" fontId="48" fillId="0" borderId="0" xfId="3411" applyNumberFormat="1" applyFont="1" applyAlignment="1">
      <alignment horizontal="center"/>
    </xf>
    <xf numFmtId="0" fontId="37" fillId="0" borderId="0" xfId="3411" applyFont="1"/>
    <xf numFmtId="37" fontId="9" fillId="0" borderId="0" xfId="3411" applyNumberFormat="1"/>
    <xf numFmtId="4" fontId="9" fillId="0" borderId="0" xfId="3411" applyNumberFormat="1"/>
    <xf numFmtId="4" fontId="57" fillId="0" borderId="0" xfId="3411" applyNumberFormat="1" applyFont="1"/>
    <xf numFmtId="168" fontId="37" fillId="0" borderId="0" xfId="6176" applyNumberFormat="1" applyFont="1"/>
    <xf numFmtId="168" fontId="9" fillId="0" borderId="0" xfId="6176" applyNumberFormat="1" applyFont="1"/>
    <xf numFmtId="0" fontId="9" fillId="0" borderId="0" xfId="3411" applyAlignment="1">
      <alignment horizontal="left" indent="1"/>
    </xf>
    <xf numFmtId="0" fontId="37" fillId="0" borderId="0" xfId="3411" applyFont="1" applyAlignment="1">
      <alignment horizontal="right" wrapText="1"/>
    </xf>
    <xf numFmtId="49" fontId="9" fillId="0" borderId="0" xfId="3411" applyNumberFormat="1" applyAlignment="1">
      <alignment horizontal="center" wrapText="1"/>
    </xf>
    <xf numFmtId="180" fontId="9" fillId="0" borderId="0" xfId="6176" applyNumberFormat="1" applyFont="1" applyAlignment="1">
      <alignment horizontal="center" vertical="center"/>
    </xf>
    <xf numFmtId="168" fontId="9" fillId="0" borderId="0" xfId="6176" applyNumberFormat="1" applyAlignment="1">
      <alignment horizontal="center" vertical="center"/>
    </xf>
    <xf numFmtId="168" fontId="9" fillId="0" borderId="0" xfId="6176" applyNumberFormat="1" applyFont="1" applyAlignment="1">
      <alignment horizontal="center" vertical="center"/>
    </xf>
    <xf numFmtId="167" fontId="9" fillId="0" borderId="61" xfId="6176" applyFont="1" applyBorder="1" applyAlignment="1">
      <alignment horizontal="center" vertical="center"/>
    </xf>
    <xf numFmtId="0" fontId="41" fillId="0" borderId="0" xfId="3411" applyFont="1" applyAlignment="1">
      <alignment horizontal="center" vertical="center"/>
    </xf>
    <xf numFmtId="164" fontId="37" fillId="0" borderId="0" xfId="3411" applyNumberFormat="1" applyFont="1"/>
    <xf numFmtId="0" fontId="9" fillId="0" borderId="0" xfId="5638" applyAlignment="1">
      <alignment horizontal="center"/>
    </xf>
    <xf numFmtId="49" fontId="9" fillId="0" borderId="0" xfId="5638" applyNumberFormat="1" applyAlignment="1">
      <alignment horizontal="center"/>
    </xf>
    <xf numFmtId="0" fontId="9" fillId="0" borderId="0" xfId="5638"/>
    <xf numFmtId="173" fontId="9" fillId="0" borderId="0" xfId="5638" applyNumberFormat="1" applyAlignment="1">
      <alignment horizontal="center"/>
    </xf>
    <xf numFmtId="14" fontId="9" fillId="0" borderId="0" xfId="5638" applyNumberFormat="1"/>
    <xf numFmtId="198" fontId="9" fillId="0" borderId="0" xfId="5638" applyNumberFormat="1" applyAlignment="1">
      <alignment horizontal="center"/>
    </xf>
    <xf numFmtId="164" fontId="9" fillId="0" borderId="0" xfId="5638" applyNumberFormat="1"/>
    <xf numFmtId="0" fontId="126" fillId="0" borderId="0" xfId="5638" applyFont="1" applyAlignment="1">
      <alignment vertical="center"/>
    </xf>
    <xf numFmtId="0" fontId="13" fillId="0" borderId="0" xfId="5638" applyFont="1" applyAlignment="1">
      <alignment vertical="center"/>
    </xf>
    <xf numFmtId="14" fontId="14" fillId="37" borderId="0" xfId="5638" applyNumberFormat="1" applyFont="1" applyFill="1" applyAlignment="1">
      <alignment horizontal="center" vertical="center"/>
    </xf>
    <xf numFmtId="0" fontId="39" fillId="0" borderId="0" xfId="5638" applyFont="1" applyAlignment="1">
      <alignment vertical="center"/>
    </xf>
    <xf numFmtId="167" fontId="39" fillId="0" borderId="0" xfId="5638" applyNumberFormat="1" applyFont="1" applyAlignment="1">
      <alignment vertical="center"/>
    </xf>
    <xf numFmtId="0" fontId="39" fillId="0" borderId="0" xfId="5638" applyFont="1"/>
    <xf numFmtId="0" fontId="10" fillId="0" borderId="0" xfId="5638" applyFont="1" applyAlignment="1">
      <alignment horizontal="left"/>
    </xf>
    <xf numFmtId="0" fontId="9" fillId="37" borderId="0" xfId="5638" applyFill="1" applyAlignment="1">
      <alignment wrapText="1"/>
    </xf>
    <xf numFmtId="0" fontId="9" fillId="37" borderId="0" xfId="5638" applyFill="1"/>
    <xf numFmtId="14" fontId="9" fillId="37" borderId="0" xfId="5638" applyNumberFormat="1" applyFill="1" applyAlignment="1">
      <alignment horizontal="left" wrapText="1"/>
    </xf>
    <xf numFmtId="14" fontId="9" fillId="37" borderId="0" xfId="5638" applyNumberFormat="1" applyFill="1" applyAlignment="1">
      <alignment horizontal="left"/>
    </xf>
    <xf numFmtId="0" fontId="9" fillId="37" borderId="0" xfId="5638" applyFill="1" applyAlignment="1">
      <alignment horizontal="left"/>
    </xf>
    <xf numFmtId="0" fontId="9" fillId="0" borderId="0" xfId="5638" applyAlignment="1">
      <alignment horizontal="right" vertical="top"/>
    </xf>
    <xf numFmtId="0" fontId="9" fillId="37" borderId="0" xfId="5638" applyFill="1" applyAlignment="1">
      <alignment horizontal="left" wrapText="1"/>
    </xf>
    <xf numFmtId="10" fontId="9" fillId="37" borderId="0" xfId="5638" quotePrefix="1" applyNumberFormat="1" applyFill="1" applyAlignment="1">
      <alignment horizontal="left" vertical="center" wrapText="1"/>
    </xf>
    <xf numFmtId="0" fontId="9" fillId="0" borderId="0" xfId="5638" applyAlignment="1">
      <alignment horizontal="left" vertical="center"/>
    </xf>
    <xf numFmtId="10" fontId="9" fillId="37" borderId="0" xfId="5638" applyNumberFormat="1" applyFill="1" applyAlignment="1">
      <alignment horizontal="left" vertical="center" wrapText="1"/>
    </xf>
    <xf numFmtId="10" fontId="98" fillId="37" borderId="0" xfId="5638" applyNumberFormat="1" applyFont="1" applyFill="1" applyAlignment="1">
      <alignment horizontal="left" vertical="center" wrapText="1"/>
    </xf>
    <xf numFmtId="0" fontId="39" fillId="37" borderId="0" xfId="5638" applyFont="1" applyFill="1"/>
    <xf numFmtId="0" fontId="10" fillId="0" borderId="0" xfId="5638" applyFont="1"/>
    <xf numFmtId="4" fontId="39" fillId="0" borderId="0" xfId="5638" applyNumberFormat="1" applyFont="1"/>
    <xf numFmtId="0" fontId="9" fillId="109" borderId="0" xfId="5638" applyFill="1" applyAlignment="1">
      <alignment vertical="center"/>
    </xf>
    <xf numFmtId="2" fontId="39" fillId="0" borderId="0" xfId="5638" applyNumberFormat="1" applyFont="1"/>
    <xf numFmtId="168" fontId="10" fillId="0" borderId="0" xfId="0" applyNumberFormat="1" applyFont="1" applyAlignment="1">
      <alignment vertical="center"/>
    </xf>
    <xf numFmtId="0" fontId="127" fillId="0" borderId="0" xfId="0" applyFont="1"/>
    <xf numFmtId="14" fontId="48" fillId="0" borderId="0" xfId="0" applyNumberFormat="1" applyFont="1" applyAlignment="1">
      <alignment vertical="center"/>
    </xf>
    <xf numFmtId="10" fontId="48" fillId="0" borderId="0" xfId="486" applyNumberFormat="1" applyFont="1" applyAlignment="1">
      <alignment vertical="center"/>
    </xf>
    <xf numFmtId="3" fontId="37" fillId="0" borderId="0" xfId="0" applyNumberFormat="1" applyFont="1" applyAlignment="1">
      <alignment vertical="center"/>
    </xf>
    <xf numFmtId="172" fontId="48" fillId="0" borderId="0" xfId="486" applyNumberFormat="1" applyFont="1" applyAlignment="1">
      <alignment vertical="center"/>
    </xf>
    <xf numFmtId="3" fontId="48" fillId="0" borderId="0" xfId="486" applyNumberFormat="1" applyFont="1" applyAlignment="1">
      <alignment horizontal="right" vertical="center"/>
    </xf>
    <xf numFmtId="3" fontId="48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9" fontId="9" fillId="0" borderId="0" xfId="0" applyNumberFormat="1" applyFont="1" applyAlignment="1">
      <alignment vertical="center"/>
    </xf>
    <xf numFmtId="10" fontId="9" fillId="0" borderId="0" xfId="0" applyNumberFormat="1" applyFont="1" applyAlignment="1">
      <alignment vertical="center"/>
    </xf>
    <xf numFmtId="10" fontId="9" fillId="0" borderId="0" xfId="486" applyNumberFormat="1" applyFont="1" applyAlignment="1">
      <alignment vertical="center"/>
    </xf>
    <xf numFmtId="3" fontId="40" fillId="0" borderId="0" xfId="0" applyNumberFormat="1" applyFont="1" applyAlignment="1">
      <alignment vertical="center"/>
    </xf>
    <xf numFmtId="0" fontId="37" fillId="0" borderId="0" xfId="0" applyFont="1" applyAlignment="1">
      <alignment vertical="center"/>
    </xf>
    <xf numFmtId="0" fontId="46" fillId="0" borderId="0" xfId="0" applyFont="1" applyAlignment="1">
      <alignment horizontal="right" vertical="center"/>
    </xf>
    <xf numFmtId="14" fontId="46" fillId="0" borderId="0" xfId="0" applyNumberFormat="1" applyFont="1" applyAlignment="1">
      <alignment vertical="center"/>
    </xf>
    <xf numFmtId="3" fontId="52" fillId="0" borderId="0" xfId="0" applyNumberFormat="1" applyFont="1" applyAlignment="1">
      <alignment vertical="center"/>
    </xf>
    <xf numFmtId="10" fontId="37" fillId="0" borderId="0" xfId="486" applyNumberFormat="1" applyFont="1" applyAlignment="1">
      <alignment vertical="center"/>
    </xf>
    <xf numFmtId="0" fontId="37" fillId="0" borderId="65" xfId="0" applyFont="1" applyBorder="1" applyAlignment="1">
      <alignment vertical="center"/>
    </xf>
    <xf numFmtId="0" fontId="37" fillId="0" borderId="0" xfId="0" applyFont="1" applyAlignment="1">
      <alignment horizontal="center" vertical="center" wrapText="1"/>
    </xf>
    <xf numFmtId="3" fontId="37" fillId="0" borderId="0" xfId="0" applyNumberFormat="1" applyFont="1" applyAlignment="1">
      <alignment horizontal="center" vertical="center" wrapText="1"/>
    </xf>
    <xf numFmtId="3" fontId="37" fillId="0" borderId="0" xfId="0" applyNumberFormat="1" applyFont="1" applyAlignment="1">
      <alignment horizontal="right" vertical="center"/>
    </xf>
    <xf numFmtId="0" fontId="128" fillId="0" borderId="0" xfId="0" applyFont="1" applyAlignment="1">
      <alignment vertical="center"/>
    </xf>
    <xf numFmtId="0" fontId="38" fillId="0" borderId="65" xfId="0" applyFont="1" applyBorder="1" applyAlignment="1">
      <alignment vertical="center"/>
    </xf>
    <xf numFmtId="167" fontId="9" fillId="112" borderId="0" xfId="345" applyFont="1" applyFill="1" applyAlignment="1">
      <alignment vertical="center"/>
    </xf>
    <xf numFmtId="167" fontId="9" fillId="0" borderId="74" xfId="345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167" fontId="9" fillId="0" borderId="74" xfId="345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199" fontId="9" fillId="0" borderId="74" xfId="486" applyNumberFormat="1" applyFont="1" applyBorder="1" applyAlignment="1">
      <alignment horizontal="center" vertical="center"/>
    </xf>
    <xf numFmtId="175" fontId="9" fillId="0" borderId="0" xfId="0" applyNumberFormat="1" applyFont="1" applyAlignment="1">
      <alignment vertical="center"/>
    </xf>
    <xf numFmtId="0" fontId="125" fillId="0" borderId="0" xfId="0" applyFont="1" applyAlignment="1">
      <alignment vertical="center"/>
    </xf>
    <xf numFmtId="0" fontId="10" fillId="0" borderId="77" xfId="0" applyFont="1" applyBorder="1" applyAlignment="1">
      <alignment horizontal="center" vertical="center"/>
    </xf>
    <xf numFmtId="3" fontId="10" fillId="0" borderId="0" xfId="0" applyNumberFormat="1" applyFont="1" applyAlignment="1">
      <alignment vertical="center"/>
    </xf>
    <xf numFmtId="3" fontId="125" fillId="0" borderId="0" xfId="0" applyNumberFormat="1" applyFont="1" applyAlignment="1">
      <alignment vertical="center"/>
    </xf>
    <xf numFmtId="3" fontId="125" fillId="0" borderId="0" xfId="0" applyNumberFormat="1" applyFont="1" applyAlignment="1">
      <alignment horizontal="right" vertical="center"/>
    </xf>
    <xf numFmtId="0" fontId="10" fillId="0" borderId="65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3" fontId="40" fillId="0" borderId="0" xfId="0" applyNumberFormat="1" applyFont="1" applyAlignment="1">
      <alignment horizontal="right" vertical="center"/>
    </xf>
    <xf numFmtId="0" fontId="9" fillId="0" borderId="0" xfId="5638" applyAlignment="1">
      <alignment horizontal="right" vertical="center"/>
    </xf>
    <xf numFmtId="0" fontId="115" fillId="0" borderId="0" xfId="0" applyFont="1" applyAlignment="1">
      <alignment vertical="center"/>
    </xf>
    <xf numFmtId="167" fontId="115" fillId="0" borderId="74" xfId="345" applyFont="1" applyFill="1" applyBorder="1" applyAlignment="1">
      <alignment vertical="center"/>
    </xf>
    <xf numFmtId="0" fontId="129" fillId="0" borderId="0" xfId="0" applyFont="1" applyAlignment="1">
      <alignment vertical="center"/>
    </xf>
    <xf numFmtId="0" fontId="115" fillId="0" borderId="78" xfId="0" applyFont="1" applyBorder="1" applyAlignment="1">
      <alignment vertical="center"/>
    </xf>
    <xf numFmtId="168" fontId="9" fillId="0" borderId="0" xfId="345" applyNumberFormat="1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7" fontId="10" fillId="37" borderId="0" xfId="345" applyFont="1" applyFill="1" applyBorder="1" applyAlignment="1">
      <alignment vertical="center"/>
    </xf>
    <xf numFmtId="167" fontId="10" fillId="37" borderId="65" xfId="345" applyFont="1" applyFill="1" applyBorder="1" applyAlignment="1">
      <alignment vertical="center"/>
    </xf>
    <xf numFmtId="167" fontId="9" fillId="37" borderId="0" xfId="0" applyNumberFormat="1" applyFont="1" applyFill="1" applyAlignment="1">
      <alignment vertical="center"/>
    </xf>
    <xf numFmtId="168" fontId="115" fillId="113" borderId="0" xfId="345" applyNumberFormat="1" applyFont="1" applyFill="1" applyBorder="1" applyAlignment="1">
      <alignment vertical="center"/>
    </xf>
    <xf numFmtId="168" fontId="37" fillId="0" borderId="0" xfId="345" applyNumberFormat="1" applyFont="1" applyAlignment="1">
      <alignment vertical="center"/>
    </xf>
    <xf numFmtId="167" fontId="0" fillId="0" borderId="76" xfId="345" applyFont="1" applyBorder="1" applyAlignment="1">
      <alignment horizontal="center"/>
    </xf>
    <xf numFmtId="167" fontId="0" fillId="40" borderId="76" xfId="345" applyFont="1" applyFill="1" applyBorder="1"/>
    <xf numFmtId="9" fontId="0" fillId="0" borderId="72" xfId="0" applyNumberFormat="1" applyBorder="1" applyAlignment="1">
      <alignment horizontal="center"/>
    </xf>
    <xf numFmtId="167" fontId="48" fillId="0" borderId="0" xfId="345" applyFont="1" applyAlignment="1">
      <alignment horizontal="center" vertical="center"/>
    </xf>
    <xf numFmtId="167" fontId="14" fillId="0" borderId="0" xfId="345" applyFont="1" applyAlignment="1">
      <alignment horizontal="center" vertical="center"/>
    </xf>
    <xf numFmtId="167" fontId="9" fillId="0" borderId="75" xfId="345" applyBorder="1" applyAlignment="1">
      <alignment horizontal="center"/>
    </xf>
    <xf numFmtId="167" fontId="10" fillId="0" borderId="0" xfId="345" applyFont="1" applyAlignment="1">
      <alignment horizontal="left" vertical="center"/>
    </xf>
    <xf numFmtId="167" fontId="0" fillId="0" borderId="0" xfId="345" applyFont="1" applyAlignment="1">
      <alignment horizontal="center" vertical="center" wrapText="1"/>
    </xf>
    <xf numFmtId="167" fontId="0" fillId="0" borderId="69" xfId="345" applyFont="1" applyBorder="1" applyAlignment="1">
      <alignment horizontal="center"/>
    </xf>
    <xf numFmtId="167" fontId="10" fillId="0" borderId="0" xfId="345" applyFont="1" applyAlignment="1">
      <alignment horizontal="center"/>
    </xf>
    <xf numFmtId="167" fontId="9" fillId="40" borderId="71" xfId="345" applyFont="1" applyFill="1" applyBorder="1" applyAlignment="1">
      <alignment horizontal="right"/>
    </xf>
    <xf numFmtId="0" fontId="11" fillId="0" borderId="78" xfId="408" applyBorder="1"/>
    <xf numFmtId="199" fontId="10" fillId="0" borderId="74" xfId="486" applyNumberFormat="1" applyFont="1" applyBorder="1" applyAlignment="1">
      <alignment horizontal="center" vertical="center"/>
    </xf>
    <xf numFmtId="168" fontId="10" fillId="36" borderId="74" xfId="345" applyNumberFormat="1" applyFont="1" applyFill="1" applyBorder="1" applyAlignment="1">
      <alignment vertical="center"/>
    </xf>
    <xf numFmtId="167" fontId="129" fillId="0" borderId="74" xfId="345" applyFont="1" applyFill="1" applyBorder="1" applyAlignment="1">
      <alignment vertical="center"/>
    </xf>
    <xf numFmtId="0" fontId="9" fillId="0" borderId="76" xfId="0" applyFont="1" applyBorder="1"/>
    <xf numFmtId="10" fontId="0" fillId="0" borderId="72" xfId="486" applyNumberFormat="1" applyFont="1" applyBorder="1" applyAlignment="1">
      <alignment horizontal="center"/>
    </xf>
    <xf numFmtId="43" fontId="0" fillId="0" borderId="0" xfId="0" applyNumberFormat="1"/>
    <xf numFmtId="0" fontId="9" fillId="40" borderId="72" xfId="0" applyFont="1" applyFill="1" applyBorder="1"/>
    <xf numFmtId="168" fontId="18" fillId="0" borderId="19" xfId="345" applyNumberFormat="1" applyFont="1" applyFill="1" applyBorder="1"/>
    <xf numFmtId="3" fontId="39" fillId="0" borderId="0" xfId="5638" applyNumberFormat="1" applyFont="1"/>
    <xf numFmtId="4" fontId="37" fillId="0" borderId="0" xfId="3411" applyNumberFormat="1" applyFont="1"/>
    <xf numFmtId="0" fontId="9" fillId="0" borderId="0" xfId="3411" applyAlignment="1">
      <alignment horizontal="right"/>
    </xf>
    <xf numFmtId="167" fontId="37" fillId="0" borderId="0" xfId="3411" applyNumberFormat="1" applyFont="1"/>
    <xf numFmtId="0" fontId="10" fillId="0" borderId="0" xfId="3411" applyFont="1" applyAlignment="1">
      <alignment horizontal="right"/>
    </xf>
    <xf numFmtId="0" fontId="14" fillId="0" borderId="0" xfId="2094" applyFont="1" applyAlignment="1">
      <alignment vertical="center"/>
    </xf>
    <xf numFmtId="0" fontId="0" fillId="0" borderId="70" xfId="0" applyBorder="1"/>
    <xf numFmtId="181" fontId="10" fillId="0" borderId="0" xfId="3412" applyFont="1" applyAlignment="1">
      <alignment horizontal="left"/>
    </xf>
    <xf numFmtId="167" fontId="9" fillId="0" borderId="0" xfId="5638" applyNumberFormat="1"/>
    <xf numFmtId="167" fontId="0" fillId="0" borderId="0" xfId="345" applyFont="1" applyFill="1"/>
    <xf numFmtId="0" fontId="9" fillId="0" borderId="76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 wrapText="1"/>
    </xf>
    <xf numFmtId="10" fontId="9" fillId="0" borderId="76" xfId="486" applyNumberFormat="1" applyFont="1" applyBorder="1" applyAlignment="1">
      <alignment horizontal="center" vertical="center"/>
    </xf>
    <xf numFmtId="167" fontId="9" fillId="0" borderId="76" xfId="345" applyFont="1" applyBorder="1" applyAlignment="1">
      <alignment horizontal="center" vertical="center"/>
    </xf>
    <xf numFmtId="167" fontId="9" fillId="0" borderId="76" xfId="345" applyFont="1" applyFill="1" applyBorder="1" applyAlignment="1">
      <alignment horizontal="center" vertical="center"/>
    </xf>
    <xf numFmtId="167" fontId="10" fillId="0" borderId="76" xfId="345" applyFont="1" applyBorder="1" applyAlignment="1">
      <alignment horizontal="center" vertical="center"/>
    </xf>
    <xf numFmtId="181" fontId="10" fillId="0" borderId="78" xfId="3412" applyFont="1" applyBorder="1"/>
    <xf numFmtId="0" fontId="9" fillId="0" borderId="70" xfId="0" applyFont="1" applyBorder="1" applyAlignment="1">
      <alignment horizontal="left" vertical="center" wrapText="1"/>
    </xf>
    <xf numFmtId="167" fontId="9" fillId="0" borderId="70" xfId="345" applyFont="1" applyFill="1" applyBorder="1"/>
    <xf numFmtId="167" fontId="9" fillId="0" borderId="70" xfId="345" applyBorder="1"/>
    <xf numFmtId="167" fontId="9" fillId="37" borderId="70" xfId="345" applyFont="1" applyFill="1" applyBorder="1" applyAlignment="1">
      <alignment horizontal="right"/>
    </xf>
    <xf numFmtId="14" fontId="10" fillId="0" borderId="70" xfId="0" applyNumberFormat="1" applyFont="1" applyBorder="1" applyAlignment="1">
      <alignment horizontal="center" vertical="center"/>
    </xf>
    <xf numFmtId="167" fontId="9" fillId="37" borderId="70" xfId="345" applyFill="1" applyBorder="1"/>
    <xf numFmtId="167" fontId="10" fillId="0" borderId="70" xfId="345" applyFont="1" applyBorder="1"/>
    <xf numFmtId="167" fontId="0" fillId="37" borderId="70" xfId="345" applyFont="1" applyFill="1" applyBorder="1"/>
    <xf numFmtId="167" fontId="10" fillId="40" borderId="70" xfId="345" applyFont="1" applyFill="1" applyBorder="1"/>
    <xf numFmtId="167" fontId="0" fillId="0" borderId="70" xfId="345" applyFont="1" applyBorder="1"/>
    <xf numFmtId="14" fontId="13" fillId="0" borderId="62" xfId="6172" applyNumberFormat="1" applyFont="1" applyBorder="1" applyAlignment="1">
      <alignment horizontal="center"/>
    </xf>
    <xf numFmtId="14" fontId="9" fillId="0" borderId="64" xfId="0" applyNumberFormat="1" applyFont="1" applyBorder="1" applyAlignment="1">
      <alignment vertical="center"/>
    </xf>
    <xf numFmtId="0" fontId="9" fillId="0" borderId="64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/>
    </xf>
    <xf numFmtId="167" fontId="39" fillId="0" borderId="78" xfId="345" applyFont="1" applyBorder="1" applyAlignment="1">
      <alignment horizontal="center"/>
    </xf>
    <xf numFmtId="0" fontId="9" fillId="0" borderId="78" xfId="0" applyFont="1" applyBorder="1"/>
    <xf numFmtId="0" fontId="9" fillId="0" borderId="78" xfId="0" applyFont="1" applyBorder="1" applyAlignment="1">
      <alignment horizontal="center" wrapText="1"/>
    </xf>
    <xf numFmtId="0" fontId="131" fillId="0" borderId="0" xfId="0" applyFont="1"/>
    <xf numFmtId="0" fontId="39" fillId="0" borderId="0" xfId="0" applyFont="1"/>
    <xf numFmtId="0" fontId="97" fillId="0" borderId="0" xfId="0" applyFont="1"/>
    <xf numFmtId="167" fontId="9" fillId="0" borderId="72" xfId="345" applyFont="1" applyBorder="1"/>
    <xf numFmtId="168" fontId="9" fillId="0" borderId="0" xfId="3411" applyNumberFormat="1"/>
    <xf numFmtId="9" fontId="9" fillId="0" borderId="72" xfId="0" applyNumberFormat="1" applyFont="1" applyBorder="1" applyAlignment="1">
      <alignment horizontal="center"/>
    </xf>
    <xf numFmtId="168" fontId="10" fillId="0" borderId="70" xfId="6174" applyNumberFormat="1" applyFont="1" applyBorder="1"/>
    <xf numFmtId="168" fontId="9" fillId="0" borderId="70" xfId="6174" applyNumberFormat="1" applyFont="1" applyBorder="1"/>
    <xf numFmtId="168" fontId="125" fillId="0" borderId="70" xfId="6174" applyNumberFormat="1" applyFont="1" applyBorder="1"/>
    <xf numFmtId="168" fontId="40" fillId="0" borderId="70" xfId="6174" applyNumberFormat="1" applyFont="1" applyBorder="1"/>
    <xf numFmtId="49" fontId="9" fillId="0" borderId="70" xfId="3411" applyNumberFormat="1" applyBorder="1" applyAlignment="1">
      <alignment horizontal="center" vertical="center" wrapText="1" shrinkToFit="1"/>
    </xf>
    <xf numFmtId="168" fontId="37" fillId="40" borderId="70" xfId="345" applyNumberFormat="1" applyFont="1" applyFill="1" applyBorder="1" applyAlignment="1">
      <alignment horizontal="center" vertical="center" shrinkToFit="1"/>
    </xf>
    <xf numFmtId="168" fontId="37" fillId="0" borderId="70" xfId="6176" applyNumberFormat="1" applyFont="1" applyBorder="1" applyAlignment="1">
      <alignment horizontal="center" shrinkToFit="1"/>
    </xf>
    <xf numFmtId="49" fontId="9" fillId="115" borderId="70" xfId="3411" applyNumberFormat="1" applyFill="1" applyBorder="1" applyAlignment="1">
      <alignment horizontal="center" vertical="center" wrapText="1" shrinkToFit="1"/>
    </xf>
    <xf numFmtId="168" fontId="37" fillId="115" borderId="70" xfId="6176" applyNumberFormat="1" applyFont="1" applyFill="1" applyBorder="1" applyAlignment="1">
      <alignment horizontal="center" shrinkToFit="1"/>
    </xf>
    <xf numFmtId="168" fontId="37" fillId="0" borderId="70" xfId="6176" applyNumberFormat="1" applyFont="1" applyFill="1" applyBorder="1" applyAlignment="1">
      <alignment horizontal="center" shrinkToFit="1"/>
    </xf>
    <xf numFmtId="168" fontId="46" fillId="0" borderId="70" xfId="6176" applyNumberFormat="1" applyFont="1" applyBorder="1" applyAlignment="1">
      <alignment horizontal="center" shrinkToFit="1"/>
    </xf>
    <xf numFmtId="168" fontId="37" fillId="37" borderId="70" xfId="6176" applyNumberFormat="1" applyFont="1" applyFill="1" applyBorder="1" applyAlignment="1">
      <alignment horizontal="center" shrinkToFit="1"/>
    </xf>
    <xf numFmtId="0" fontId="9" fillId="0" borderId="70" xfId="3411" applyBorder="1" applyAlignment="1">
      <alignment horizontal="left" wrapText="1" indent="1"/>
    </xf>
    <xf numFmtId="0" fontId="10" fillId="0" borderId="70" xfId="0" applyFont="1" applyBorder="1" applyAlignment="1">
      <alignment horizontal="center" vertical="center" wrapText="1"/>
    </xf>
    <xf numFmtId="167" fontId="9" fillId="37" borderId="70" xfId="345" applyFont="1" applyFill="1" applyBorder="1"/>
    <xf numFmtId="14" fontId="9" fillId="0" borderId="70" xfId="345" applyNumberFormat="1" applyBorder="1"/>
    <xf numFmtId="168" fontId="12" fillId="0" borderId="70" xfId="345" applyNumberFormat="1" applyFont="1" applyBorder="1"/>
    <xf numFmtId="171" fontId="0" fillId="0" borderId="70" xfId="0" applyNumberFormat="1" applyBorder="1"/>
    <xf numFmtId="2" fontId="0" fillId="0" borderId="70" xfId="0" applyNumberFormat="1" applyBorder="1"/>
    <xf numFmtId="0" fontId="0" fillId="0" borderId="70" xfId="0" applyBorder="1" applyAlignment="1">
      <alignment horizontal="center"/>
    </xf>
    <xf numFmtId="4" fontId="0" fillId="0" borderId="70" xfId="0" applyNumberFormat="1" applyBorder="1"/>
    <xf numFmtId="167" fontId="0" fillId="0" borderId="70" xfId="0" applyNumberFormat="1" applyBorder="1"/>
    <xf numFmtId="167" fontId="132" fillId="114" borderId="0" xfId="345" applyFont="1" applyFill="1"/>
    <xf numFmtId="167" fontId="9" fillId="40" borderId="0" xfId="345" applyFill="1" applyAlignment="1">
      <alignment horizontal="left" vertical="center"/>
    </xf>
    <xf numFmtId="14" fontId="9" fillId="0" borderId="72" xfId="0" applyNumberFormat="1" applyFont="1" applyBorder="1"/>
    <xf numFmtId="0" fontId="9" fillId="0" borderId="72" xfId="3411" applyBorder="1"/>
    <xf numFmtId="0" fontId="10" fillId="0" borderId="72" xfId="3411" applyFont="1" applyBorder="1"/>
    <xf numFmtId="0" fontId="9" fillId="0" borderId="72" xfId="3411" applyBorder="1" applyAlignment="1">
      <alignment horizontal="left" vertical="center" wrapText="1" indent="1" shrinkToFit="1"/>
    </xf>
    <xf numFmtId="0" fontId="10" fillId="0" borderId="72" xfId="3411" applyFont="1" applyBorder="1" applyAlignment="1">
      <alignment horizontal="justify" vertical="center" wrapText="1" shrinkToFit="1"/>
    </xf>
    <xf numFmtId="0" fontId="9" fillId="0" borderId="72" xfId="3411" applyBorder="1" applyAlignment="1">
      <alignment horizontal="left" wrapText="1" indent="1"/>
    </xf>
    <xf numFmtId="0" fontId="0" fillId="0" borderId="72" xfId="0" applyBorder="1" applyAlignment="1">
      <alignment horizontal="center"/>
    </xf>
    <xf numFmtId="167" fontId="0" fillId="0" borderId="0" xfId="345" applyFont="1" applyFill="1" applyBorder="1"/>
    <xf numFmtId="0" fontId="58" fillId="0" borderId="0" xfId="0" applyFont="1"/>
    <xf numFmtId="0" fontId="10" fillId="0" borderId="0" xfId="1711" applyFont="1" applyAlignment="1">
      <alignment horizontal="center" vertical="center"/>
    </xf>
    <xf numFmtId="167" fontId="10" fillId="0" borderId="0" xfId="3371" applyFont="1" applyBorder="1" applyAlignment="1">
      <alignment vertical="center"/>
    </xf>
    <xf numFmtId="177" fontId="9" fillId="0" borderId="0" xfId="379" applyBorder="1" applyAlignment="1">
      <alignment vertical="center"/>
    </xf>
    <xf numFmtId="0" fontId="58" fillId="0" borderId="0" xfId="1711" applyFont="1" applyAlignment="1">
      <alignment horizontal="center"/>
    </xf>
    <xf numFmtId="167" fontId="58" fillId="0" borderId="0" xfId="3371" applyFont="1" applyAlignment="1">
      <alignment horizontal="center"/>
    </xf>
    <xf numFmtId="1" fontId="9" fillId="37" borderId="0" xfId="5638" applyNumberFormat="1" applyFill="1" applyAlignment="1">
      <alignment horizontal="center"/>
    </xf>
    <xf numFmtId="167" fontId="9" fillId="0" borderId="0" xfId="345" applyFont="1" applyFill="1" applyAlignment="1">
      <alignment horizontal="center"/>
    </xf>
    <xf numFmtId="0" fontId="9" fillId="40" borderId="0" xfId="5638" applyFill="1" applyAlignment="1">
      <alignment horizontal="center"/>
    </xf>
    <xf numFmtId="2" fontId="9" fillId="0" borderId="0" xfId="5638" applyNumberFormat="1"/>
    <xf numFmtId="14" fontId="10" fillId="116" borderId="0" xfId="5638" applyNumberFormat="1" applyFont="1" applyFill="1" applyAlignment="1">
      <alignment horizontal="left" vertical="center" wrapText="1"/>
    </xf>
    <xf numFmtId="0" fontId="10" fillId="0" borderId="0" xfId="5638" applyFont="1" applyAlignment="1">
      <alignment horizontal="center"/>
    </xf>
    <xf numFmtId="2" fontId="10" fillId="0" borderId="0" xfId="5638" applyNumberFormat="1" applyFont="1"/>
    <xf numFmtId="14" fontId="10" fillId="0" borderId="0" xfId="5638" applyNumberFormat="1" applyFont="1"/>
    <xf numFmtId="167" fontId="10" fillId="0" borderId="0" xfId="5638" applyNumberFormat="1" applyFont="1"/>
    <xf numFmtId="14" fontId="10" fillId="0" borderId="0" xfId="5638" applyNumberFormat="1" applyFont="1" applyAlignment="1">
      <alignment horizontal="left" vertical="center" wrapText="1"/>
    </xf>
    <xf numFmtId="14" fontId="9" fillId="0" borderId="0" xfId="5638" applyNumberFormat="1" applyAlignment="1">
      <alignment horizontal="left" vertical="center" wrapText="1"/>
    </xf>
    <xf numFmtId="167" fontId="9" fillId="0" borderId="0" xfId="345" applyFont="1" applyFill="1"/>
    <xf numFmtId="14" fontId="10" fillId="117" borderId="0" xfId="5638" applyNumberFormat="1" applyFont="1" applyFill="1" applyAlignment="1">
      <alignment horizontal="left" vertical="center" wrapText="1"/>
    </xf>
    <xf numFmtId="0" fontId="9" fillId="118" borderId="0" xfId="5638" applyFill="1"/>
    <xf numFmtId="14" fontId="10" fillId="118" borderId="0" xfId="5638" applyNumberFormat="1" applyFont="1" applyFill="1" applyAlignment="1">
      <alignment horizontal="left" vertical="center" wrapText="1"/>
    </xf>
    <xf numFmtId="43" fontId="9" fillId="0" borderId="0" xfId="5638" applyNumberFormat="1"/>
    <xf numFmtId="167" fontId="10" fillId="0" borderId="0" xfId="345" applyFont="1" applyFill="1"/>
    <xf numFmtId="43" fontId="10" fillId="0" borderId="0" xfId="5638" applyNumberFormat="1" applyFont="1"/>
    <xf numFmtId="198" fontId="115" fillId="0" borderId="0" xfId="5638" applyNumberFormat="1" applyFont="1" applyAlignment="1">
      <alignment horizontal="center"/>
    </xf>
    <xf numFmtId="14" fontId="115" fillId="119" borderId="0" xfId="5638" applyNumberFormat="1" applyFont="1" applyFill="1" applyAlignment="1">
      <alignment horizontal="left" vertical="center" wrapText="1"/>
    </xf>
    <xf numFmtId="14" fontId="129" fillId="119" borderId="0" xfId="5638" applyNumberFormat="1" applyFont="1" applyFill="1" applyAlignment="1">
      <alignment horizontal="left" vertical="center" wrapText="1"/>
    </xf>
    <xf numFmtId="198" fontId="129" fillId="0" borderId="0" xfId="5638" applyNumberFormat="1" applyFont="1" applyAlignment="1">
      <alignment horizontal="center"/>
    </xf>
    <xf numFmtId="14" fontId="129" fillId="0" borderId="0" xfId="5638" applyNumberFormat="1" applyFont="1" applyAlignment="1">
      <alignment horizontal="left" vertical="center" wrapText="1"/>
    </xf>
    <xf numFmtId="0" fontId="9" fillId="120" borderId="0" xfId="5638" applyFill="1"/>
    <xf numFmtId="14" fontId="10" fillId="120" borderId="0" xfId="5638" applyNumberFormat="1" applyFont="1" applyFill="1" applyAlignment="1">
      <alignment horizontal="left" vertical="center"/>
    </xf>
    <xf numFmtId="198" fontId="10" fillId="0" borderId="0" xfId="5638" applyNumberFormat="1" applyFont="1" applyAlignment="1">
      <alignment horizontal="center"/>
    </xf>
    <xf numFmtId="14" fontId="10" fillId="0" borderId="0" xfId="5638" applyNumberFormat="1" applyFont="1" applyAlignment="1">
      <alignment horizontal="left" vertical="center"/>
    </xf>
    <xf numFmtId="14" fontId="9" fillId="121" borderId="0" xfId="5638" applyNumberFormat="1" applyFill="1" applyAlignment="1">
      <alignment horizontal="left" vertical="center"/>
    </xf>
    <xf numFmtId="14" fontId="10" fillId="121" borderId="0" xfId="5638" applyNumberFormat="1" applyFont="1" applyFill="1" applyAlignment="1">
      <alignment horizontal="left" vertical="center"/>
    </xf>
    <xf numFmtId="14" fontId="9" fillId="0" borderId="0" xfId="5638" applyNumberFormat="1" applyAlignment="1">
      <alignment horizontal="left" vertical="center"/>
    </xf>
    <xf numFmtId="0" fontId="9" fillId="122" borderId="0" xfId="5638" applyFill="1"/>
    <xf numFmtId="14" fontId="10" fillId="122" borderId="0" xfId="5638" applyNumberFormat="1" applyFont="1" applyFill="1" applyAlignment="1">
      <alignment horizontal="left" vertical="center" wrapText="1"/>
    </xf>
    <xf numFmtId="0" fontId="9" fillId="123" borderId="0" xfId="5638" applyFill="1"/>
    <xf numFmtId="14" fontId="9" fillId="124" borderId="0" xfId="5638" applyNumberFormat="1" applyFill="1"/>
    <xf numFmtId="0" fontId="117" fillId="0" borderId="0" xfId="5638" applyFont="1"/>
    <xf numFmtId="164" fontId="9" fillId="0" borderId="0" xfId="5638" applyNumberFormat="1" applyAlignment="1">
      <alignment horizontal="center"/>
    </xf>
    <xf numFmtId="167" fontId="57" fillId="0" borderId="0" xfId="345" applyFont="1" applyAlignment="1">
      <alignment horizontal="center"/>
    </xf>
    <xf numFmtId="167" fontId="57" fillId="125" borderId="0" xfId="5638" applyNumberFormat="1" applyFont="1" applyFill="1"/>
    <xf numFmtId="173" fontId="10" fillId="0" borderId="0" xfId="5638" applyNumberFormat="1" applyFont="1" applyAlignment="1">
      <alignment horizontal="center"/>
    </xf>
    <xf numFmtId="2" fontId="0" fillId="0" borderId="0" xfId="345" applyNumberFormat="1" applyFont="1"/>
    <xf numFmtId="173" fontId="9" fillId="0" borderId="0" xfId="5638" applyNumberFormat="1"/>
    <xf numFmtId="0" fontId="48" fillId="0" borderId="0" xfId="8967" applyFont="1"/>
    <xf numFmtId="0" fontId="48" fillId="0" borderId="0" xfId="8967" applyFont="1" applyAlignment="1">
      <alignment horizontal="left"/>
    </xf>
    <xf numFmtId="14" fontId="48" fillId="0" borderId="0" xfId="8967" applyNumberFormat="1" applyFont="1"/>
    <xf numFmtId="167" fontId="48" fillId="0" borderId="0" xfId="345" applyFont="1"/>
    <xf numFmtId="49" fontId="10" fillId="0" borderId="0" xfId="8967" applyNumberFormat="1" applyFont="1"/>
    <xf numFmtId="0" fontId="10" fillId="0" borderId="0" xfId="8967" applyFont="1" applyAlignment="1">
      <alignment horizontal="center"/>
    </xf>
    <xf numFmtId="0" fontId="9" fillId="0" borderId="0" xfId="8967"/>
    <xf numFmtId="0" fontId="9" fillId="0" borderId="0" xfId="8967" applyAlignment="1">
      <alignment vertical="center"/>
    </xf>
    <xf numFmtId="3" fontId="9" fillId="0" borderId="69" xfId="8968" applyNumberFormat="1" applyBorder="1" applyAlignment="1">
      <alignment horizontal="center"/>
    </xf>
    <xf numFmtId="167" fontId="9" fillId="0" borderId="69" xfId="345" applyBorder="1" applyAlignment="1">
      <alignment horizontal="center"/>
    </xf>
    <xf numFmtId="167" fontId="9" fillId="0" borderId="69" xfId="345" applyFont="1" applyFill="1" applyBorder="1" applyAlignment="1">
      <alignment horizontal="center" vertical="center"/>
    </xf>
    <xf numFmtId="3" fontId="58" fillId="0" borderId="69" xfId="8968" applyNumberFormat="1" applyFont="1" applyBorder="1" applyAlignment="1">
      <alignment horizontal="center"/>
    </xf>
    <xf numFmtId="167" fontId="58" fillId="0" borderId="69" xfId="345" applyFont="1" applyBorder="1" applyAlignment="1">
      <alignment horizontal="center"/>
    </xf>
    <xf numFmtId="167" fontId="58" fillId="0" borderId="69" xfId="345" applyFont="1" applyFill="1" applyBorder="1" applyAlignment="1">
      <alignment horizontal="center" vertical="center"/>
    </xf>
    <xf numFmtId="0" fontId="58" fillId="0" borderId="0" xfId="8967" applyFont="1"/>
    <xf numFmtId="0" fontId="58" fillId="0" borderId="0" xfId="8967" applyFont="1" applyAlignment="1">
      <alignment vertical="center"/>
    </xf>
    <xf numFmtId="14" fontId="9" fillId="0" borderId="69" xfId="8968" applyNumberFormat="1" applyBorder="1" applyAlignment="1">
      <alignment horizontal="center"/>
    </xf>
    <xf numFmtId="167" fontId="9" fillId="0" borderId="69" xfId="345" applyFont="1" applyBorder="1" applyAlignment="1">
      <alignment horizontal="center" vertical="center"/>
    </xf>
    <xf numFmtId="14" fontId="9" fillId="0" borderId="65" xfId="8968" applyNumberFormat="1" applyBorder="1" applyAlignment="1">
      <alignment horizontal="center"/>
    </xf>
    <xf numFmtId="167" fontId="9" fillId="0" borderId="0" xfId="8968" applyNumberFormat="1" applyAlignment="1">
      <alignment horizontal="center"/>
    </xf>
    <xf numFmtId="14" fontId="39" fillId="0" borderId="69" xfId="8968" applyNumberFormat="1" applyFont="1" applyBorder="1" applyAlignment="1">
      <alignment horizontal="center"/>
    </xf>
    <xf numFmtId="4" fontId="9" fillId="0" borderId="0" xfId="8967" applyNumberFormat="1"/>
    <xf numFmtId="167" fontId="9" fillId="0" borderId="76" xfId="345" applyFont="1" applyBorder="1" applyAlignment="1">
      <alignment horizontal="center"/>
    </xf>
    <xf numFmtId="167" fontId="9" fillId="0" borderId="69" xfId="345" applyFont="1" applyBorder="1" applyAlignment="1">
      <alignment horizontal="center"/>
    </xf>
    <xf numFmtId="14" fontId="10" fillId="0" borderId="65" xfId="8968" applyNumberFormat="1" applyFont="1" applyBorder="1" applyAlignment="1">
      <alignment horizontal="center"/>
    </xf>
    <xf numFmtId="3" fontId="10" fillId="0" borderId="69" xfId="8968" applyNumberFormat="1" applyFont="1" applyBorder="1" applyAlignment="1">
      <alignment horizontal="center"/>
    </xf>
    <xf numFmtId="14" fontId="41" fillId="0" borderId="69" xfId="8968" applyNumberFormat="1" applyFont="1" applyBorder="1" applyAlignment="1">
      <alignment horizontal="center"/>
    </xf>
    <xf numFmtId="167" fontId="134" fillId="0" borderId="69" xfId="345" applyFont="1" applyBorder="1" applyAlignment="1">
      <alignment horizontal="center"/>
    </xf>
    <xf numFmtId="167" fontId="10" fillId="0" borderId="69" xfId="345" applyFont="1" applyBorder="1" applyAlignment="1">
      <alignment horizontal="center"/>
    </xf>
    <xf numFmtId="167" fontId="10" fillId="0" borderId="69" xfId="345" applyFont="1" applyBorder="1" applyAlignment="1">
      <alignment horizontal="center" vertical="center"/>
    </xf>
    <xf numFmtId="167" fontId="98" fillId="0" borderId="69" xfId="345" applyFont="1" applyBorder="1" applyAlignment="1">
      <alignment horizontal="center"/>
    </xf>
    <xf numFmtId="167" fontId="98" fillId="0" borderId="69" xfId="345" applyFont="1" applyFill="1" applyBorder="1" applyAlignment="1">
      <alignment horizontal="center"/>
    </xf>
    <xf numFmtId="167" fontId="9" fillId="0" borderId="69" xfId="345" applyFill="1" applyBorder="1" applyAlignment="1">
      <alignment horizontal="center"/>
    </xf>
    <xf numFmtId="164" fontId="9" fillId="0" borderId="0" xfId="8967" applyNumberFormat="1" applyAlignment="1">
      <alignment vertical="center"/>
    </xf>
    <xf numFmtId="167" fontId="134" fillId="0" borderId="69" xfId="345" applyFont="1" applyFill="1" applyBorder="1" applyAlignment="1">
      <alignment horizontal="center"/>
    </xf>
    <xf numFmtId="14" fontId="0" fillId="0" borderId="65" xfId="8968" applyNumberFormat="1" applyFont="1" applyBorder="1" applyAlignment="1">
      <alignment horizontal="center"/>
    </xf>
    <xf numFmtId="3" fontId="0" fillId="0" borderId="69" xfId="8968" applyNumberFormat="1" applyFont="1" applyBorder="1" applyAlignment="1">
      <alignment horizontal="center"/>
    </xf>
    <xf numFmtId="167" fontId="0" fillId="0" borderId="69" xfId="345" applyFont="1" applyBorder="1" applyAlignment="1">
      <alignment horizontal="center" vertical="center"/>
    </xf>
    <xf numFmtId="0" fontId="0" fillId="0" borderId="0" xfId="8967" applyFont="1"/>
    <xf numFmtId="164" fontId="0" fillId="0" borderId="0" xfId="8967" applyNumberFormat="1" applyFont="1" applyAlignment="1">
      <alignment vertical="center"/>
    </xf>
    <xf numFmtId="164" fontId="0" fillId="0" borderId="0" xfId="8967" applyNumberFormat="1" applyFont="1"/>
    <xf numFmtId="0" fontId="9" fillId="115" borderId="0" xfId="8967" applyFill="1"/>
    <xf numFmtId="167" fontId="9" fillId="115" borderId="0" xfId="345" applyFill="1"/>
    <xf numFmtId="164" fontId="9" fillId="115" borderId="0" xfId="8967" applyNumberFormat="1" applyFill="1" applyAlignment="1">
      <alignment vertical="center"/>
    </xf>
    <xf numFmtId="167" fontId="9" fillId="0" borderId="0" xfId="8967" applyNumberFormat="1"/>
    <xf numFmtId="164" fontId="9" fillId="0" borderId="0" xfId="8967" applyNumberFormat="1"/>
    <xf numFmtId="164" fontId="58" fillId="0" borderId="0" xfId="8967" applyNumberFormat="1" applyFont="1"/>
    <xf numFmtId="14" fontId="48" fillId="0" borderId="0" xfId="0" applyNumberFormat="1" applyFont="1" applyAlignment="1">
      <alignment vertical="center" wrapText="1"/>
    </xf>
    <xf numFmtId="167" fontId="9" fillId="0" borderId="76" xfId="345" applyFont="1" applyFill="1" applyBorder="1" applyAlignment="1">
      <alignment vertical="center"/>
    </xf>
    <xf numFmtId="184" fontId="9" fillId="0" borderId="76" xfId="345" applyNumberFormat="1" applyFont="1" applyFill="1" applyBorder="1" applyAlignment="1">
      <alignment vertical="center"/>
    </xf>
    <xf numFmtId="10" fontId="9" fillId="0" borderId="76" xfId="486" applyNumberFormat="1" applyFont="1" applyFill="1" applyBorder="1" applyAlignment="1">
      <alignment horizontal="center" vertical="center"/>
    </xf>
    <xf numFmtId="182" fontId="9" fillId="0" borderId="76" xfId="345" applyNumberFormat="1" applyFont="1" applyFill="1" applyBorder="1" applyAlignment="1">
      <alignment vertical="center"/>
    </xf>
    <xf numFmtId="167" fontId="9" fillId="0" borderId="76" xfId="0" applyNumberFormat="1" applyFont="1" applyBorder="1" applyAlignment="1">
      <alignment vertical="center"/>
    </xf>
    <xf numFmtId="4" fontId="9" fillId="0" borderId="0" xfId="5638" applyNumberFormat="1"/>
    <xf numFmtId="167" fontId="9" fillId="126" borderId="74" xfId="345" applyFont="1" applyFill="1" applyBorder="1"/>
    <xf numFmtId="168" fontId="9" fillId="127" borderId="93" xfId="345" applyNumberFormat="1" applyFont="1" applyFill="1" applyBorder="1" applyAlignment="1">
      <alignment horizontal="center" vertical="center"/>
    </xf>
    <xf numFmtId="168" fontId="9" fillId="127" borderId="74" xfId="345" applyNumberFormat="1" applyFont="1" applyFill="1" applyBorder="1" applyAlignment="1">
      <alignment horizontal="center" vertical="center"/>
    </xf>
    <xf numFmtId="10" fontId="9" fillId="127" borderId="74" xfId="345" applyNumberFormat="1" applyFont="1" applyFill="1" applyBorder="1" applyAlignment="1">
      <alignment horizontal="center" vertical="center"/>
    </xf>
    <xf numFmtId="3" fontId="9" fillId="127" borderId="74" xfId="345" applyNumberFormat="1" applyFont="1" applyFill="1" applyBorder="1" applyAlignment="1">
      <alignment horizontal="right" vertical="center"/>
    </xf>
    <xf numFmtId="3" fontId="9" fillId="127" borderId="69" xfId="345" applyNumberFormat="1" applyFont="1" applyFill="1" applyBorder="1" applyAlignment="1">
      <alignment horizontal="right" vertical="center"/>
    </xf>
    <xf numFmtId="168" fontId="9" fillId="127" borderId="94" xfId="345" applyNumberFormat="1" applyFont="1" applyFill="1" applyBorder="1" applyAlignment="1">
      <alignment horizontal="center" vertical="center"/>
    </xf>
    <xf numFmtId="167" fontId="9" fillId="0" borderId="70" xfId="345" applyFont="1" applyFill="1" applyBorder="1" applyAlignment="1">
      <alignment horizontal="right"/>
    </xf>
    <xf numFmtId="14" fontId="9" fillId="127" borderId="78" xfId="0" applyNumberFormat="1" applyFont="1" applyFill="1" applyBorder="1" applyAlignment="1">
      <alignment horizontal="center" vertical="center"/>
    </xf>
    <xf numFmtId="10" fontId="9" fillId="127" borderId="78" xfId="0" applyNumberFormat="1" applyFont="1" applyFill="1" applyBorder="1" applyAlignment="1">
      <alignment horizontal="center"/>
    </xf>
    <xf numFmtId="6" fontId="47" fillId="0" borderId="0" xfId="0" applyNumberFormat="1" applyFont="1" applyAlignment="1">
      <alignment vertical="center"/>
    </xf>
    <xf numFmtId="167" fontId="9" fillId="116" borderId="0" xfId="345" applyFont="1" applyFill="1" applyBorder="1" applyAlignment="1">
      <alignment vertical="center"/>
    </xf>
    <xf numFmtId="167" fontId="115" fillId="116" borderId="0" xfId="345" applyFont="1" applyFill="1" applyBorder="1" applyAlignment="1">
      <alignment vertical="center"/>
    </xf>
    <xf numFmtId="167" fontId="129" fillId="116" borderId="0" xfId="345" applyFont="1" applyFill="1" applyBorder="1" applyAlignment="1">
      <alignment vertical="center"/>
    </xf>
    <xf numFmtId="3" fontId="9" fillId="116" borderId="65" xfId="0" applyNumberFormat="1" applyFont="1" applyFill="1" applyBorder="1" applyAlignment="1">
      <alignment vertical="center"/>
    </xf>
    <xf numFmtId="200" fontId="9" fillId="116" borderId="65" xfId="486" applyNumberFormat="1" applyFont="1" applyFill="1" applyBorder="1" applyAlignment="1">
      <alignment vertical="center"/>
    </xf>
    <xf numFmtId="4" fontId="9" fillId="116" borderId="65" xfId="0" applyNumberFormat="1" applyFont="1" applyFill="1" applyBorder="1" applyAlignment="1">
      <alignment vertical="center"/>
    </xf>
    <xf numFmtId="3" fontId="10" fillId="116" borderId="65" xfId="0" applyNumberFormat="1" applyFont="1" applyFill="1" applyBorder="1" applyAlignment="1">
      <alignment vertical="center"/>
    </xf>
    <xf numFmtId="14" fontId="9" fillId="120" borderId="74" xfId="0" applyNumberFormat="1" applyFont="1" applyFill="1" applyBorder="1" applyAlignment="1">
      <alignment horizontal="center" vertical="center"/>
    </xf>
    <xf numFmtId="14" fontId="9" fillId="119" borderId="74" xfId="0" applyNumberFormat="1" applyFont="1" applyFill="1" applyBorder="1" applyAlignment="1">
      <alignment horizontal="center" vertical="center"/>
    </xf>
    <xf numFmtId="14" fontId="9" fillId="123" borderId="74" xfId="0" applyNumberFormat="1" applyFont="1" applyFill="1" applyBorder="1" applyAlignment="1">
      <alignment horizontal="center" vertical="center"/>
    </xf>
    <xf numFmtId="14" fontId="9" fillId="128" borderId="74" xfId="0" applyNumberFormat="1" applyFont="1" applyFill="1" applyBorder="1" applyAlignment="1">
      <alignment horizontal="center" vertical="center"/>
    </xf>
    <xf numFmtId="168" fontId="10" fillId="127" borderId="96" xfId="345" applyNumberFormat="1" applyFont="1" applyFill="1" applyBorder="1"/>
    <xf numFmtId="10" fontId="10" fillId="127" borderId="95" xfId="345" applyNumberFormat="1" applyFont="1" applyFill="1" applyBorder="1" applyAlignment="1">
      <alignment horizontal="center"/>
    </xf>
    <xf numFmtId="168" fontId="10" fillId="127" borderId="21" xfId="345" applyNumberFormat="1" applyFont="1" applyFill="1" applyBorder="1"/>
    <xf numFmtId="10" fontId="46" fillId="0" borderId="0" xfId="486" applyNumberFormat="1" applyFont="1" applyAlignment="1">
      <alignment vertical="center"/>
    </xf>
    <xf numFmtId="0" fontId="46" fillId="0" borderId="74" xfId="0" applyFont="1" applyBorder="1" applyAlignment="1">
      <alignment horizontal="center" vertical="center" wrapText="1"/>
    </xf>
    <xf numFmtId="0" fontId="10" fillId="116" borderId="91" xfId="0" applyFont="1" applyFill="1" applyBorder="1" applyAlignment="1">
      <alignment horizontal="center" vertical="center" wrapText="1"/>
    </xf>
    <xf numFmtId="3" fontId="46" fillId="0" borderId="0" xfId="0" applyNumberFormat="1" applyFont="1" applyAlignment="1">
      <alignment vertical="center"/>
    </xf>
    <xf numFmtId="0" fontId="10" fillId="127" borderId="92" xfId="0" applyFont="1" applyFill="1" applyBorder="1" applyAlignment="1">
      <alignment horizontal="center" vertical="center" wrapText="1"/>
    </xf>
    <xf numFmtId="0" fontId="136" fillId="0" borderId="0" xfId="2094" applyFont="1"/>
    <xf numFmtId="49" fontId="9" fillId="0" borderId="0" xfId="5638" applyNumberFormat="1"/>
    <xf numFmtId="167" fontId="0" fillId="0" borderId="70" xfId="345" applyFont="1" applyFill="1" applyBorder="1"/>
    <xf numFmtId="168" fontId="18" fillId="0" borderId="19" xfId="3543" applyNumberFormat="1" applyFont="1" applyFill="1" applyBorder="1"/>
    <xf numFmtId="168" fontId="12" fillId="0" borderId="19" xfId="3543" applyNumberFormat="1" applyFont="1" applyFill="1" applyBorder="1"/>
    <xf numFmtId="3" fontId="18" fillId="0" borderId="23" xfId="2094" applyNumberFormat="1" applyFont="1" applyBorder="1"/>
    <xf numFmtId="168" fontId="12" fillId="0" borderId="21" xfId="3543" applyNumberFormat="1" applyFont="1" applyFill="1" applyBorder="1"/>
    <xf numFmtId="167" fontId="12" fillId="0" borderId="19" xfId="3543" applyFont="1" applyFill="1" applyBorder="1"/>
    <xf numFmtId="168" fontId="12" fillId="0" borderId="23" xfId="3543" applyNumberFormat="1" applyFont="1" applyFill="1" applyBorder="1"/>
    <xf numFmtId="167" fontId="12" fillId="0" borderId="21" xfId="3543" applyFont="1" applyFill="1" applyBorder="1"/>
    <xf numFmtId="168" fontId="12" fillId="0" borderId="19" xfId="3543" applyNumberFormat="1" applyFont="1" applyFill="1" applyBorder="1" applyAlignment="1">
      <alignment vertical="center"/>
    </xf>
    <xf numFmtId="168" fontId="12" fillId="0" borderId="23" xfId="3543" applyNumberFormat="1" applyFont="1" applyFill="1" applyBorder="1" applyAlignment="1">
      <alignment vertical="center"/>
    </xf>
    <xf numFmtId="167" fontId="90" fillId="0" borderId="0" xfId="3543" applyFont="1" applyFill="1" applyAlignment="1">
      <alignment horizontal="center"/>
    </xf>
    <xf numFmtId="0" fontId="9" fillId="129" borderId="0" xfId="0" applyFont="1" applyFill="1"/>
    <xf numFmtId="0" fontId="14" fillId="39" borderId="87" xfId="0" applyFont="1" applyFill="1" applyBorder="1" applyAlignment="1">
      <alignment horizontal="center" vertical="center"/>
    </xf>
    <xf numFmtId="0" fontId="14" fillId="39" borderId="88" xfId="0" applyFont="1" applyFill="1" applyBorder="1" applyAlignment="1">
      <alignment horizontal="center" vertical="center"/>
    </xf>
    <xf numFmtId="0" fontId="41" fillId="0" borderId="61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203" fontId="0" fillId="0" borderId="0" xfId="0" applyNumberFormat="1" applyAlignment="1">
      <alignment vertical="center"/>
    </xf>
    <xf numFmtId="204" fontId="132" fillId="0" borderId="0" xfId="0" applyNumberFormat="1" applyFont="1"/>
    <xf numFmtId="205" fontId="0" fillId="0" borderId="0" xfId="0" applyNumberFormat="1" applyAlignment="1">
      <alignment vertical="center"/>
    </xf>
    <xf numFmtId="206" fontId="9" fillId="0" borderId="0" xfId="0" applyNumberFormat="1" applyFont="1" applyAlignment="1">
      <alignment vertical="center"/>
    </xf>
    <xf numFmtId="167" fontId="9" fillId="0" borderId="0" xfId="345" applyFont="1" applyAlignment="1">
      <alignment horizontal="center" vertical="center" wrapText="1"/>
    </xf>
    <xf numFmtId="9" fontId="9" fillId="0" borderId="69" xfId="0" applyNumberFormat="1" applyFont="1" applyBorder="1" applyAlignment="1">
      <alignment horizontal="center"/>
    </xf>
    <xf numFmtId="0" fontId="9" fillId="0" borderId="73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left" vertical="center" wrapText="1"/>
    </xf>
    <xf numFmtId="181" fontId="9" fillId="40" borderId="0" xfId="345" applyNumberFormat="1" applyFont="1" applyFill="1" applyAlignment="1">
      <alignment horizontal="center" vertical="center"/>
    </xf>
    <xf numFmtId="202" fontId="9" fillId="0" borderId="0" xfId="0" applyNumberFormat="1" applyFont="1" applyAlignment="1">
      <alignment vertical="center"/>
    </xf>
    <xf numFmtId="4" fontId="9" fillId="37" borderId="69" xfId="0" applyNumberFormat="1" applyFont="1" applyFill="1" applyBorder="1" applyAlignment="1">
      <alignment horizontal="center" vertical="center"/>
    </xf>
    <xf numFmtId="173" fontId="9" fillId="37" borderId="69" xfId="0" applyNumberFormat="1" applyFont="1" applyFill="1" applyBorder="1" applyAlignment="1">
      <alignment horizontal="center" vertical="center"/>
    </xf>
    <xf numFmtId="167" fontId="9" fillId="0" borderId="69" xfId="345" applyFont="1" applyBorder="1" applyAlignment="1">
      <alignment horizontal="center" vertical="center" wrapText="1"/>
    </xf>
    <xf numFmtId="164" fontId="9" fillId="0" borderId="76" xfId="0" applyNumberFormat="1" applyFont="1" applyBorder="1" applyAlignment="1">
      <alignment horizontal="center" vertical="center" wrapText="1"/>
    </xf>
    <xf numFmtId="14" fontId="9" fillId="0" borderId="69" xfId="0" applyNumberFormat="1" applyFont="1" applyBorder="1" applyAlignment="1">
      <alignment horizontal="left" vertical="center" wrapText="1"/>
    </xf>
    <xf numFmtId="167" fontId="9" fillId="0" borderId="69" xfId="345" applyFont="1" applyBorder="1" applyAlignment="1">
      <alignment vertical="center" wrapText="1"/>
    </xf>
    <xf numFmtId="167" fontId="9" fillId="37" borderId="69" xfId="1638" applyFont="1" applyFill="1" applyBorder="1" applyAlignment="1">
      <alignment vertical="center" wrapText="1"/>
    </xf>
    <xf numFmtId="164" fontId="9" fillId="0" borderId="76" xfId="0" applyNumberFormat="1" applyFont="1" applyBorder="1" applyAlignment="1">
      <alignment horizontal="center" vertical="center"/>
    </xf>
    <xf numFmtId="167" fontId="9" fillId="40" borderId="69" xfId="1638" applyFont="1" applyFill="1" applyBorder="1" applyAlignment="1">
      <alignment vertical="center" wrapText="1"/>
    </xf>
    <xf numFmtId="0" fontId="9" fillId="0" borderId="69" xfId="0" applyFont="1" applyBorder="1" applyAlignment="1">
      <alignment horizontal="center"/>
    </xf>
    <xf numFmtId="168" fontId="9" fillId="0" borderId="69" xfId="345" applyNumberFormat="1" applyFont="1" applyBorder="1" applyAlignment="1">
      <alignment horizontal="center" vertical="center" wrapText="1"/>
    </xf>
    <xf numFmtId="4" fontId="9" fillId="40" borderId="69" xfId="0" applyNumberFormat="1" applyFont="1" applyFill="1" applyBorder="1" applyAlignment="1">
      <alignment horizontal="center" vertical="center"/>
    </xf>
    <xf numFmtId="173" fontId="9" fillId="40" borderId="69" xfId="0" applyNumberFormat="1" applyFont="1" applyFill="1" applyBorder="1" applyAlignment="1">
      <alignment horizontal="center" vertical="center"/>
    </xf>
    <xf numFmtId="0" fontId="9" fillId="40" borderId="76" xfId="0" applyFont="1" applyFill="1" applyBorder="1" applyAlignment="1">
      <alignment horizontal="center" vertical="center"/>
    </xf>
    <xf numFmtId="167" fontId="9" fillId="40" borderId="69" xfId="345" applyFont="1" applyFill="1" applyBorder="1" applyAlignment="1">
      <alignment horizontal="center" vertical="center"/>
    </xf>
    <xf numFmtId="167" fontId="9" fillId="0" borderId="76" xfId="3543" applyFont="1" applyBorder="1" applyAlignment="1">
      <alignment horizontal="center" vertical="center"/>
    </xf>
    <xf numFmtId="0" fontId="9" fillId="40" borderId="76" xfId="0" applyFont="1" applyFill="1" applyBorder="1" applyAlignment="1">
      <alignment horizontal="center" vertical="center" wrapText="1"/>
    </xf>
    <xf numFmtId="168" fontId="9" fillId="40" borderId="69" xfId="0" applyNumberFormat="1" applyFont="1" applyFill="1" applyBorder="1" applyAlignment="1">
      <alignment horizontal="center" vertical="center"/>
    </xf>
    <xf numFmtId="173" fontId="9" fillId="40" borderId="76" xfId="0" applyNumberFormat="1" applyFont="1" applyFill="1" applyBorder="1" applyAlignment="1">
      <alignment horizontal="center" vertical="center"/>
    </xf>
    <xf numFmtId="168" fontId="9" fillId="0" borderId="76" xfId="3543" applyNumberFormat="1" applyFont="1" applyBorder="1" applyAlignment="1">
      <alignment horizontal="center" vertical="center"/>
    </xf>
    <xf numFmtId="0" fontId="11" fillId="0" borderId="69" xfId="408" applyBorder="1"/>
    <xf numFmtId="0" fontId="11" fillId="0" borderId="76" xfId="408" applyBorder="1"/>
    <xf numFmtId="0" fontId="10" fillId="0" borderId="69" xfId="408" applyFont="1" applyBorder="1"/>
    <xf numFmtId="167" fontId="9" fillId="0" borderId="76" xfId="345" applyFont="1" applyFill="1" applyBorder="1"/>
    <xf numFmtId="167" fontId="9" fillId="0" borderId="76" xfId="345" applyFont="1" applyBorder="1"/>
    <xf numFmtId="181" fontId="9" fillId="0" borderId="76" xfId="3412" applyBorder="1"/>
    <xf numFmtId="167" fontId="9" fillId="0" borderId="76" xfId="3543" applyFill="1" applyBorder="1"/>
    <xf numFmtId="167" fontId="11" fillId="0" borderId="76" xfId="346" applyBorder="1"/>
    <xf numFmtId="0" fontId="10" fillId="0" borderId="69" xfId="408" applyFont="1" applyBorder="1" applyAlignment="1">
      <alignment horizontal="left"/>
    </xf>
    <xf numFmtId="14" fontId="9" fillId="0" borderId="76" xfId="0" quotePrefix="1" applyNumberFormat="1" applyFont="1" applyBorder="1" applyAlignment="1">
      <alignment vertical="center"/>
    </xf>
    <xf numFmtId="167" fontId="9" fillId="37" borderId="76" xfId="345" applyFont="1" applyFill="1" applyBorder="1" applyAlignment="1">
      <alignment vertical="center"/>
    </xf>
    <xf numFmtId="167" fontId="9" fillId="0" borderId="76" xfId="0" applyNumberFormat="1" applyFont="1" applyBorder="1"/>
    <xf numFmtId="168" fontId="9" fillId="37" borderId="76" xfId="345" applyNumberFormat="1" applyFont="1" applyFill="1" applyBorder="1" applyAlignment="1">
      <alignment vertical="center"/>
    </xf>
    <xf numFmtId="14" fontId="9" fillId="0" borderId="74" xfId="8968" applyNumberFormat="1" applyBorder="1" applyAlignment="1">
      <alignment horizontal="center"/>
    </xf>
    <xf numFmtId="0" fontId="9" fillId="0" borderId="74" xfId="8968" applyBorder="1" applyAlignment="1">
      <alignment horizontal="center"/>
    </xf>
    <xf numFmtId="167" fontId="9" fillId="0" borderId="74" xfId="8968" applyNumberFormat="1" applyBorder="1" applyAlignment="1">
      <alignment horizontal="center"/>
    </xf>
    <xf numFmtId="10" fontId="9" fillId="126" borderId="74" xfId="8968" applyNumberFormat="1" applyFill="1" applyBorder="1" applyAlignment="1">
      <alignment horizontal="center"/>
    </xf>
    <xf numFmtId="201" fontId="9" fillId="126" borderId="74" xfId="8968" applyNumberFormat="1" applyFill="1" applyBorder="1" applyAlignment="1">
      <alignment horizontal="center"/>
    </xf>
    <xf numFmtId="167" fontId="9" fillId="0" borderId="74" xfId="345" applyFont="1" applyFill="1" applyBorder="1" applyAlignment="1">
      <alignment horizontal="center" vertical="center"/>
    </xf>
    <xf numFmtId="14" fontId="58" fillId="0" borderId="74" xfId="8968" applyNumberFormat="1" applyFont="1" applyBorder="1" applyAlignment="1">
      <alignment horizontal="center"/>
    </xf>
    <xf numFmtId="0" fontId="58" fillId="0" borderId="74" xfId="8968" applyFont="1" applyBorder="1" applyAlignment="1">
      <alignment horizontal="center"/>
    </xf>
    <xf numFmtId="167" fontId="58" fillId="0" borderId="74" xfId="8968" applyNumberFormat="1" applyFont="1" applyBorder="1" applyAlignment="1">
      <alignment horizontal="center"/>
    </xf>
    <xf numFmtId="10" fontId="58" fillId="126" borderId="74" xfId="8968" applyNumberFormat="1" applyFont="1" applyFill="1" applyBorder="1" applyAlignment="1">
      <alignment horizontal="center"/>
    </xf>
    <xf numFmtId="201" fontId="58" fillId="126" borderId="74" xfId="8968" applyNumberFormat="1" applyFont="1" applyFill="1" applyBorder="1" applyAlignment="1">
      <alignment horizontal="center"/>
    </xf>
    <xf numFmtId="167" fontId="58" fillId="0" borderId="74" xfId="345" applyFont="1" applyFill="1" applyBorder="1" applyAlignment="1">
      <alignment horizontal="center" vertical="center"/>
    </xf>
    <xf numFmtId="14" fontId="10" fillId="0" borderId="74" xfId="8968" applyNumberFormat="1" applyFont="1" applyBorder="1" applyAlignment="1">
      <alignment horizontal="center"/>
    </xf>
    <xf numFmtId="0" fontId="10" fillId="0" borderId="74" xfId="8968" applyFont="1" applyBorder="1" applyAlignment="1">
      <alignment horizontal="center"/>
    </xf>
    <xf numFmtId="10" fontId="10" fillId="126" borderId="74" xfId="8968" applyNumberFormat="1" applyFont="1" applyFill="1" applyBorder="1" applyAlignment="1">
      <alignment horizontal="center"/>
    </xf>
    <xf numFmtId="167" fontId="10" fillId="0" borderId="74" xfId="345" applyFont="1" applyFill="1" applyBorder="1" applyAlignment="1">
      <alignment horizontal="center" vertical="center"/>
    </xf>
    <xf numFmtId="167" fontId="10" fillId="0" borderId="74" xfId="345" applyFont="1" applyBorder="1" applyAlignment="1">
      <alignment horizontal="center" vertical="center"/>
    </xf>
    <xf numFmtId="14" fontId="0" fillId="0" borderId="74" xfId="8968" applyNumberFormat="1" applyFont="1" applyBorder="1" applyAlignment="1">
      <alignment horizontal="center"/>
    </xf>
    <xf numFmtId="0" fontId="0" fillId="0" borderId="74" xfId="8968" applyFont="1" applyBorder="1" applyAlignment="1">
      <alignment horizontal="center"/>
    </xf>
    <xf numFmtId="10" fontId="0" fillId="126" borderId="74" xfId="8968" applyNumberFormat="1" applyFont="1" applyFill="1" applyBorder="1" applyAlignment="1">
      <alignment horizontal="center"/>
    </xf>
    <xf numFmtId="167" fontId="0" fillId="0" borderId="74" xfId="345" applyFont="1" applyBorder="1" applyAlignment="1">
      <alignment horizontal="center" vertical="center"/>
    </xf>
    <xf numFmtId="14" fontId="13" fillId="0" borderId="69" xfId="6172" applyNumberFormat="1" applyFont="1" applyBorder="1" applyAlignment="1">
      <alignment horizontal="center"/>
    </xf>
    <xf numFmtId="3" fontId="13" fillId="0" borderId="69" xfId="6172" applyNumberFormat="1" applyFont="1" applyBorder="1" applyAlignment="1">
      <alignment horizontal="center"/>
    </xf>
    <xf numFmtId="167" fontId="13" fillId="0" borderId="69" xfId="345" applyFont="1" applyBorder="1" applyAlignment="1">
      <alignment horizontal="center"/>
    </xf>
    <xf numFmtId="167" fontId="13" fillId="0" borderId="69" xfId="6173" applyFont="1" applyBorder="1" applyAlignment="1">
      <alignment horizontal="center" vertical="center"/>
    </xf>
    <xf numFmtId="167" fontId="119" fillId="0" borderId="69" xfId="345" applyFont="1" applyBorder="1" applyAlignment="1">
      <alignment horizontal="center"/>
    </xf>
    <xf numFmtId="167" fontId="114" fillId="0" borderId="69" xfId="345" applyFont="1" applyBorder="1" applyAlignment="1">
      <alignment horizontal="center"/>
    </xf>
    <xf numFmtId="167" fontId="124" fillId="0" borderId="69" xfId="6173" applyFont="1" applyBorder="1" applyAlignment="1">
      <alignment horizontal="center" vertical="center"/>
    </xf>
    <xf numFmtId="3" fontId="9" fillId="0" borderId="69" xfId="0" applyNumberFormat="1" applyFont="1" applyBorder="1" applyAlignment="1">
      <alignment horizontal="center"/>
    </xf>
    <xf numFmtId="3" fontId="11" fillId="0" borderId="69" xfId="408" applyNumberFormat="1" applyBorder="1" applyAlignment="1">
      <alignment horizontal="center"/>
    </xf>
    <xf numFmtId="167" fontId="9" fillId="37" borderId="69" xfId="345" applyFont="1" applyFill="1" applyBorder="1" applyAlignment="1">
      <alignment vertical="center"/>
    </xf>
    <xf numFmtId="14" fontId="10" fillId="0" borderId="99" xfId="3411" applyNumberFormat="1" applyFont="1" applyBorder="1" applyAlignment="1">
      <alignment horizontal="center"/>
    </xf>
    <xf numFmtId="168" fontId="9" fillId="0" borderId="99" xfId="6174" applyNumberFormat="1" applyFont="1" applyBorder="1"/>
    <xf numFmtId="49" fontId="9" fillId="0" borderId="99" xfId="3411" applyNumberFormat="1" applyBorder="1" applyAlignment="1">
      <alignment horizontal="center" vertical="center" wrapText="1" shrinkToFit="1"/>
    </xf>
    <xf numFmtId="168" fontId="37" fillId="40" borderId="99" xfId="345" applyNumberFormat="1" applyFont="1" applyFill="1" applyBorder="1" applyAlignment="1">
      <alignment horizontal="center" vertical="center" shrinkToFit="1"/>
    </xf>
    <xf numFmtId="168" fontId="37" fillId="0" borderId="99" xfId="6176" applyNumberFormat="1" applyFont="1" applyBorder="1" applyAlignment="1">
      <alignment horizontal="center" shrinkToFit="1"/>
    </xf>
    <xf numFmtId="168" fontId="37" fillId="115" borderId="99" xfId="6176" applyNumberFormat="1" applyFont="1" applyFill="1" applyBorder="1" applyAlignment="1">
      <alignment horizontal="center" shrinkToFit="1"/>
    </xf>
    <xf numFmtId="49" fontId="10" fillId="0" borderId="99" xfId="3411" applyNumberFormat="1" applyFont="1" applyBorder="1" applyAlignment="1">
      <alignment horizontal="center" wrapText="1"/>
    </xf>
    <xf numFmtId="168" fontId="10" fillId="0" borderId="99" xfId="6176" applyNumberFormat="1" applyFont="1" applyBorder="1" applyAlignment="1">
      <alignment horizontal="right" vertical="center" shrinkToFit="1"/>
    </xf>
    <xf numFmtId="167" fontId="9" fillId="0" borderId="99" xfId="345" applyFont="1" applyFill="1" applyBorder="1"/>
    <xf numFmtId="167" fontId="0" fillId="0" borderId="99" xfId="345" applyFont="1" applyFill="1" applyBorder="1"/>
    <xf numFmtId="171" fontId="0" fillId="0" borderId="99" xfId="0" applyNumberFormat="1" applyBorder="1"/>
    <xf numFmtId="0" fontId="0" fillId="0" borderId="99" xfId="0" applyBorder="1"/>
    <xf numFmtId="171" fontId="9" fillId="0" borderId="70" xfId="0" applyNumberFormat="1" applyFont="1" applyBorder="1"/>
    <xf numFmtId="0" fontId="15" fillId="0" borderId="97" xfId="0" applyFont="1" applyBorder="1" applyAlignment="1">
      <alignment horizontal="center" vertical="center"/>
    </xf>
    <xf numFmtId="0" fontId="9" fillId="0" borderId="97" xfId="0" applyFont="1" applyBorder="1" applyAlignment="1">
      <alignment vertical="center"/>
    </xf>
    <xf numFmtId="0" fontId="9" fillId="0" borderId="98" xfId="0" applyFont="1" applyBorder="1" applyAlignment="1">
      <alignment vertical="center"/>
    </xf>
    <xf numFmtId="167" fontId="9" fillId="0" borderId="97" xfId="0" applyNumberFormat="1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167" fontId="9" fillId="0" borderId="100" xfId="345" applyFont="1" applyBorder="1" applyAlignment="1">
      <alignment horizontal="center" vertical="center"/>
    </xf>
    <xf numFmtId="170" fontId="9" fillId="0" borderId="100" xfId="345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left" vertical="center"/>
    </xf>
    <xf numFmtId="0" fontId="9" fillId="0" borderId="97" xfId="0" applyFont="1" applyBorder="1" applyAlignment="1">
      <alignment horizontal="left" vertical="center"/>
    </xf>
    <xf numFmtId="0" fontId="10" fillId="0" borderId="102" xfId="0" applyFont="1" applyBorder="1" applyAlignment="1">
      <alignment horizontal="center" vertical="center"/>
    </xf>
    <xf numFmtId="0" fontId="10" fillId="0" borderId="103" xfId="0" applyFont="1" applyBorder="1" applyAlignment="1">
      <alignment horizontal="center" vertical="center"/>
    </xf>
    <xf numFmtId="165" fontId="10" fillId="0" borderId="104" xfId="0" applyNumberFormat="1" applyFont="1" applyBorder="1" applyAlignment="1">
      <alignment horizontal="center" vertical="center"/>
    </xf>
    <xf numFmtId="167" fontId="9" fillId="0" borderId="104" xfId="0" applyNumberFormat="1" applyFont="1" applyBorder="1" applyAlignment="1">
      <alignment vertical="center"/>
    </xf>
    <xf numFmtId="182" fontId="9" fillId="0" borderId="104" xfId="345" applyNumberFormat="1" applyFont="1" applyBorder="1" applyAlignment="1">
      <alignment horizontal="right" vertical="center"/>
    </xf>
    <xf numFmtId="16" fontId="9" fillId="0" borderId="104" xfId="0" applyNumberFormat="1" applyFont="1" applyBorder="1" applyAlignment="1">
      <alignment vertical="center"/>
    </xf>
    <xf numFmtId="167" fontId="10" fillId="0" borderId="104" xfId="345" applyFont="1" applyBorder="1" applyAlignment="1">
      <alignment horizontal="right" vertical="center"/>
    </xf>
    <xf numFmtId="0" fontId="10" fillId="0" borderId="102" xfId="0" applyFont="1" applyBorder="1" applyAlignment="1">
      <alignment vertical="center" wrapText="1"/>
    </xf>
    <xf numFmtId="0" fontId="10" fillId="0" borderId="103" xfId="0" applyFont="1" applyBorder="1" applyAlignment="1">
      <alignment vertical="center" wrapText="1"/>
    </xf>
    <xf numFmtId="0" fontId="10" fillId="0" borderId="102" xfId="0" applyFont="1" applyBorder="1" applyAlignment="1">
      <alignment vertical="center"/>
    </xf>
    <xf numFmtId="0" fontId="10" fillId="0" borderId="104" xfId="0" applyFont="1" applyBorder="1" applyAlignment="1">
      <alignment vertical="center"/>
    </xf>
    <xf numFmtId="167" fontId="9" fillId="0" borderId="104" xfId="345" applyFont="1" applyBorder="1" applyAlignment="1">
      <alignment horizontal="right" vertical="center"/>
    </xf>
    <xf numFmtId="167" fontId="10" fillId="0" borderId="99" xfId="345" applyFont="1" applyBorder="1" applyAlignment="1">
      <alignment horizontal="center" vertical="center"/>
    </xf>
    <xf numFmtId="0" fontId="10" fillId="34" borderId="102" xfId="0" applyFont="1" applyFill="1" applyBorder="1" applyAlignment="1">
      <alignment vertical="center"/>
    </xf>
    <xf numFmtId="0" fontId="10" fillId="34" borderId="104" xfId="0" applyFont="1" applyFill="1" applyBorder="1" applyAlignment="1">
      <alignment vertical="center"/>
    </xf>
    <xf numFmtId="165" fontId="10" fillId="34" borderId="104" xfId="0" applyNumberFormat="1" applyFont="1" applyFill="1" applyBorder="1" applyAlignment="1">
      <alignment horizontal="center" vertical="center"/>
    </xf>
    <xf numFmtId="167" fontId="9" fillId="34" borderId="104" xfId="0" applyNumberFormat="1" applyFont="1" applyFill="1" applyBorder="1" applyAlignment="1">
      <alignment vertical="center"/>
    </xf>
    <xf numFmtId="167" fontId="9" fillId="34" borderId="104" xfId="345" applyFont="1" applyFill="1" applyBorder="1" applyAlignment="1">
      <alignment horizontal="right" vertical="center"/>
    </xf>
    <xf numFmtId="16" fontId="9" fillId="34" borderId="104" xfId="0" applyNumberFormat="1" applyFont="1" applyFill="1" applyBorder="1" applyAlignment="1">
      <alignment vertical="center"/>
    </xf>
    <xf numFmtId="167" fontId="10" fillId="34" borderId="104" xfId="345" applyFont="1" applyFill="1" applyBorder="1" applyAlignment="1">
      <alignment vertical="center"/>
    </xf>
    <xf numFmtId="0" fontId="10" fillId="0" borderId="98" xfId="0" applyFont="1" applyBorder="1" applyAlignment="1">
      <alignment vertical="center"/>
    </xf>
    <xf numFmtId="0" fontId="10" fillId="0" borderId="97" xfId="0" applyFont="1" applyBorder="1" applyAlignment="1">
      <alignment vertical="center"/>
    </xf>
    <xf numFmtId="165" fontId="9" fillId="0" borderId="97" xfId="0" applyNumberFormat="1" applyFont="1" applyBorder="1" applyAlignment="1">
      <alignment horizontal="center" vertical="center"/>
    </xf>
    <xf numFmtId="167" fontId="9" fillId="0" borderId="97" xfId="0" applyNumberFormat="1" applyFont="1" applyBorder="1" applyAlignment="1">
      <alignment vertical="center"/>
    </xf>
    <xf numFmtId="167" fontId="9" fillId="0" borderId="97" xfId="0" applyNumberFormat="1" applyFont="1" applyBorder="1" applyAlignment="1">
      <alignment horizontal="right" vertical="center"/>
    </xf>
    <xf numFmtId="167" fontId="10" fillId="0" borderId="97" xfId="345" applyFont="1" applyBorder="1" applyAlignment="1">
      <alignment vertical="center"/>
    </xf>
    <xf numFmtId="0" fontId="14" fillId="0" borderId="102" xfId="0" applyFont="1" applyBorder="1" applyAlignment="1">
      <alignment horizontal="left" vertical="center"/>
    </xf>
    <xf numFmtId="0" fontId="14" fillId="0" borderId="104" xfId="0" applyFont="1" applyBorder="1" applyAlignment="1">
      <alignment horizontal="center" vertical="center"/>
    </xf>
    <xf numFmtId="14" fontId="14" fillId="0" borderId="102" xfId="0" applyNumberFormat="1" applyFont="1" applyBorder="1" applyAlignment="1">
      <alignment horizontal="center" vertical="center"/>
    </xf>
    <xf numFmtId="167" fontId="9" fillId="0" borderId="99" xfId="345" applyFont="1" applyBorder="1" applyAlignment="1">
      <alignment vertical="center"/>
    </xf>
    <xf numFmtId="167" fontId="9" fillId="0" borderId="99" xfId="0" applyNumberFormat="1" applyFont="1" applyBorder="1" applyAlignment="1">
      <alignment vertical="center"/>
    </xf>
    <xf numFmtId="9" fontId="9" fillId="0" borderId="99" xfId="486" applyFont="1" applyFill="1" applyBorder="1" applyAlignment="1">
      <alignment vertical="center"/>
    </xf>
    <xf numFmtId="0" fontId="9" fillId="0" borderId="102" xfId="0" applyFont="1" applyBorder="1" applyAlignment="1">
      <alignment horizontal="center" vertical="center"/>
    </xf>
    <xf numFmtId="0" fontId="57" fillId="0" borderId="103" xfId="0" applyFont="1" applyBorder="1" applyAlignment="1">
      <alignment horizontal="center" vertical="center"/>
    </xf>
    <xf numFmtId="0" fontId="9" fillId="0" borderId="102" xfId="1711" applyBorder="1" applyAlignment="1">
      <alignment horizontal="center" vertical="center"/>
    </xf>
    <xf numFmtId="168" fontId="9" fillId="0" borderId="104" xfId="1711" applyNumberFormat="1" applyBorder="1"/>
    <xf numFmtId="170" fontId="9" fillId="0" borderId="105" xfId="3371" applyNumberFormat="1" applyBorder="1" applyAlignment="1">
      <alignment horizontal="center"/>
    </xf>
    <xf numFmtId="167" fontId="9" fillId="0" borderId="99" xfId="345" applyFont="1" applyBorder="1" applyAlignment="1">
      <alignment horizontal="center" vertical="center"/>
    </xf>
    <xf numFmtId="0" fontId="9" fillId="0" borderId="102" xfId="0" applyFont="1" applyBorder="1"/>
    <xf numFmtId="167" fontId="9" fillId="0" borderId="99" xfId="345" applyFont="1" applyBorder="1" applyAlignment="1">
      <alignment horizontal="center"/>
    </xf>
    <xf numFmtId="0" fontId="9" fillId="0" borderId="99" xfId="0" applyFont="1" applyBorder="1" applyAlignment="1">
      <alignment horizontal="center"/>
    </xf>
    <xf numFmtId="173" fontId="11" fillId="0" borderId="99" xfId="408" applyNumberFormat="1" applyBorder="1" applyAlignment="1">
      <alignment horizontal="center"/>
    </xf>
    <xf numFmtId="173" fontId="9" fillId="0" borderId="99" xfId="408" applyNumberFormat="1" applyFont="1" applyBorder="1" applyAlignment="1">
      <alignment horizontal="center"/>
    </xf>
    <xf numFmtId="0" fontId="11" fillId="0" borderId="99" xfId="408" applyBorder="1"/>
    <xf numFmtId="14" fontId="9" fillId="0" borderId="99" xfId="8968" applyNumberFormat="1" applyBorder="1" applyAlignment="1">
      <alignment horizontal="center"/>
    </xf>
    <xf numFmtId="14" fontId="119" fillId="0" borderId="99" xfId="6172" applyNumberFormat="1" applyFont="1" applyBorder="1" applyAlignment="1">
      <alignment horizontal="center"/>
    </xf>
    <xf numFmtId="14" fontId="58" fillId="0" borderId="99" xfId="408" applyNumberFormat="1" applyFont="1" applyBorder="1" applyAlignment="1">
      <alignment horizontal="center"/>
    </xf>
    <xf numFmtId="0" fontId="10" fillId="0" borderId="99" xfId="0" applyFont="1" applyBorder="1" applyAlignment="1">
      <alignment horizontal="center" vertical="center" wrapText="1"/>
    </xf>
    <xf numFmtId="0" fontId="10" fillId="127" borderId="99" xfId="0" applyFont="1" applyFill="1" applyBorder="1" applyAlignment="1">
      <alignment horizontal="center" vertical="center" wrapText="1"/>
    </xf>
    <xf numFmtId="168" fontId="9" fillId="36" borderId="99" xfId="345" applyNumberFormat="1" applyFont="1" applyFill="1" applyBorder="1" applyAlignment="1">
      <alignment vertical="center"/>
    </xf>
    <xf numFmtId="167" fontId="115" fillId="0" borderId="99" xfId="345" applyFont="1" applyFill="1" applyBorder="1" applyAlignment="1">
      <alignment vertical="center"/>
    </xf>
    <xf numFmtId="199" fontId="9" fillId="0" borderId="99" xfId="486" applyNumberFormat="1" applyFont="1" applyBorder="1" applyAlignment="1">
      <alignment horizontal="center" vertical="center"/>
    </xf>
    <xf numFmtId="0" fontId="10" fillId="0" borderId="99" xfId="0" applyFont="1" applyBorder="1" applyAlignment="1">
      <alignment vertical="center"/>
    </xf>
    <xf numFmtId="168" fontId="10" fillId="36" borderId="99" xfId="345" applyNumberFormat="1" applyFont="1" applyFill="1" applyBorder="1" applyAlignment="1">
      <alignment vertical="center"/>
    </xf>
    <xf numFmtId="167" fontId="0" fillId="37" borderId="106" xfId="345" applyFont="1" applyFill="1" applyBorder="1"/>
    <xf numFmtId="9" fontId="9" fillId="0" borderId="107" xfId="0" applyNumberFormat="1" applyFont="1" applyBorder="1" applyAlignment="1">
      <alignment horizontal="center" vertical="center" wrapText="1"/>
    </xf>
    <xf numFmtId="167" fontId="57" fillId="125" borderId="0" xfId="5638" applyNumberFormat="1" applyFont="1" applyFill="1" applyAlignment="1">
      <alignment horizontal="center"/>
    </xf>
    <xf numFmtId="0" fontId="57" fillId="125" borderId="0" xfId="5638" applyFont="1" applyFill="1" applyAlignment="1">
      <alignment horizontal="center"/>
    </xf>
    <xf numFmtId="0" fontId="9" fillId="0" borderId="99" xfId="0" applyFont="1" applyBorder="1" applyAlignment="1">
      <alignment horizontal="center" vertical="center" wrapText="1"/>
    </xf>
    <xf numFmtId="167" fontId="10" fillId="0" borderId="61" xfId="345" applyFont="1" applyBorder="1" applyAlignment="1">
      <alignment horizontal="center"/>
    </xf>
    <xf numFmtId="167" fontId="9" fillId="0" borderId="0" xfId="345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181" fontId="13" fillId="0" borderId="0" xfId="6171" applyFont="1" applyAlignment="1">
      <alignment horizontal="center"/>
    </xf>
    <xf numFmtId="181" fontId="13" fillId="0" borderId="0" xfId="6171" quotePrefix="1" applyFont="1" applyAlignment="1">
      <alignment horizontal="left" vertical="top" wrapText="1"/>
    </xf>
    <xf numFmtId="181" fontId="13" fillId="0" borderId="0" xfId="6171" applyFont="1" applyAlignment="1">
      <alignment horizontal="left" vertical="top" wrapText="1"/>
    </xf>
    <xf numFmtId="3" fontId="121" fillId="0" borderId="0" xfId="6172" applyNumberFormat="1" applyFont="1" applyAlignment="1">
      <alignment horizontal="center"/>
    </xf>
    <xf numFmtId="14" fontId="119" fillId="0" borderId="0" xfId="6172" applyNumberFormat="1" applyFont="1" applyAlignment="1">
      <alignment horizontal="center"/>
    </xf>
    <xf numFmtId="3" fontId="57" fillId="0" borderId="0" xfId="6172" applyNumberFormat="1" applyFont="1" applyAlignment="1">
      <alignment horizontal="center"/>
    </xf>
    <xf numFmtId="14" fontId="46" fillId="0" borderId="89" xfId="0" applyNumberFormat="1" applyFont="1" applyBorder="1" applyAlignment="1">
      <alignment horizontal="center" vertical="center"/>
    </xf>
    <xf numFmtId="14" fontId="46" fillId="0" borderId="90" xfId="0" applyNumberFormat="1" applyFont="1" applyBorder="1" applyAlignment="1">
      <alignment horizontal="center" vertical="center"/>
    </xf>
    <xf numFmtId="14" fontId="46" fillId="0" borderId="20" xfId="0" applyNumberFormat="1" applyFont="1" applyBorder="1" applyAlignment="1">
      <alignment horizontal="center" vertical="center"/>
    </xf>
    <xf numFmtId="14" fontId="10" fillId="127" borderId="89" xfId="0" applyNumberFormat="1" applyFont="1" applyFill="1" applyBorder="1" applyAlignment="1">
      <alignment horizontal="center" vertical="center"/>
    </xf>
    <xf numFmtId="14" fontId="10" fillId="127" borderId="90" xfId="0" applyNumberFormat="1" applyFont="1" applyFill="1" applyBorder="1" applyAlignment="1">
      <alignment horizontal="center" vertical="center"/>
    </xf>
    <xf numFmtId="14" fontId="10" fillId="127" borderId="20" xfId="0" applyNumberFormat="1" applyFont="1" applyFill="1" applyBorder="1" applyAlignment="1">
      <alignment horizontal="center" vertical="center"/>
    </xf>
    <xf numFmtId="14" fontId="10" fillId="0" borderId="99" xfId="0" applyNumberFormat="1" applyFont="1" applyBorder="1" applyAlignment="1">
      <alignment horizontal="center" vertical="center"/>
    </xf>
    <xf numFmtId="0" fontId="14" fillId="0" borderId="72" xfId="3411" applyFont="1" applyBorder="1" applyAlignment="1">
      <alignment horizontal="center"/>
    </xf>
    <xf numFmtId="0" fontId="14" fillId="0" borderId="0" xfId="3411" applyFont="1" applyAlignment="1">
      <alignment horizontal="center"/>
    </xf>
    <xf numFmtId="0" fontId="14" fillId="0" borderId="65" xfId="3411" applyFont="1" applyBorder="1" applyAlignment="1">
      <alignment horizontal="center"/>
    </xf>
    <xf numFmtId="0" fontId="10" fillId="0" borderId="0" xfId="3411" applyFont="1" applyAlignment="1">
      <alignment horizontal="center"/>
    </xf>
    <xf numFmtId="0" fontId="12" fillId="0" borderId="12" xfId="2094" applyFont="1" applyBorder="1" applyAlignment="1">
      <alignment horizontal="center"/>
    </xf>
    <xf numFmtId="0" fontId="12" fillId="0" borderId="0" xfId="2094" applyFont="1" applyAlignment="1">
      <alignment horizontal="center"/>
    </xf>
    <xf numFmtId="0" fontId="12" fillId="0" borderId="13" xfId="2094" applyFont="1" applyBorder="1" applyAlignment="1">
      <alignment horizontal="center"/>
    </xf>
    <xf numFmtId="0" fontId="14" fillId="0" borderId="0" xfId="2094" applyFont="1" applyAlignment="1">
      <alignment horizontal="center" vertical="center"/>
    </xf>
    <xf numFmtId="0" fontId="18" fillId="0" borderId="0" xfId="2094" applyFont="1" applyAlignment="1">
      <alignment horizontal="center"/>
    </xf>
    <xf numFmtId="14" fontId="12" fillId="0" borderId="22" xfId="2094" applyNumberFormat="1" applyFont="1" applyBorder="1" applyAlignment="1">
      <alignment horizontal="center" vertical="center"/>
    </xf>
    <xf numFmtId="14" fontId="12" fillId="0" borderId="23" xfId="2094" applyNumberFormat="1" applyFont="1" applyBorder="1" applyAlignment="1">
      <alignment horizontal="center" vertical="center"/>
    </xf>
    <xf numFmtId="0" fontId="12" fillId="0" borderId="12" xfId="2094" applyFont="1" applyBorder="1" applyAlignment="1">
      <alignment horizontal="left"/>
    </xf>
    <xf numFmtId="0" fontId="12" fillId="0" borderId="0" xfId="2094" applyFont="1" applyAlignment="1">
      <alignment horizontal="left"/>
    </xf>
    <xf numFmtId="0" fontId="135" fillId="0" borderId="0" xfId="2094" applyFont="1" applyAlignment="1">
      <alignment horizontal="right" vertical="center"/>
    </xf>
    <xf numFmtId="0" fontId="135" fillId="0" borderId="11" xfId="2094" applyFont="1" applyBorder="1" applyAlignment="1">
      <alignment horizontal="right" vertical="center"/>
    </xf>
    <xf numFmtId="0" fontId="135" fillId="0" borderId="0" xfId="2094" applyFont="1" applyAlignment="1">
      <alignment horizontal="center" vertical="center"/>
    </xf>
    <xf numFmtId="0" fontId="135" fillId="0" borderId="11" xfId="2094" applyFont="1" applyBorder="1" applyAlignment="1">
      <alignment horizontal="center" vertical="center"/>
    </xf>
    <xf numFmtId="0" fontId="9" fillId="0" borderId="12" xfId="2094" applyBorder="1" applyAlignment="1">
      <alignment vertical="center"/>
    </xf>
    <xf numFmtId="0" fontId="9" fillId="0" borderId="0" xfId="2094" applyAlignment="1">
      <alignment vertical="center"/>
    </xf>
    <xf numFmtId="0" fontId="9" fillId="0" borderId="0" xfId="2094" applyAlignment="1">
      <alignment horizontal="right" vertical="center"/>
    </xf>
    <xf numFmtId="0" fontId="48" fillId="0" borderId="0" xfId="0" applyFont="1" applyAlignment="1">
      <alignment horizontal="left" vertical="center" shrinkToFit="1"/>
    </xf>
    <xf numFmtId="0" fontId="47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108" xfId="0" applyFont="1" applyBorder="1" applyAlignment="1">
      <alignment horizontal="center" vertical="center"/>
    </xf>
    <xf numFmtId="165" fontId="10" fillId="0" borderId="109" xfId="0" applyNumberFormat="1" applyFont="1" applyBorder="1" applyAlignment="1">
      <alignment horizontal="center" vertical="center" wrapText="1"/>
    </xf>
    <xf numFmtId="168" fontId="9" fillId="0" borderId="110" xfId="345" applyNumberFormat="1" applyFont="1" applyBorder="1" applyAlignment="1">
      <alignment vertical="center"/>
    </xf>
    <xf numFmtId="167" fontId="9" fillId="0" borderId="110" xfId="345" applyFont="1" applyBorder="1" applyAlignment="1">
      <alignment vertical="center"/>
    </xf>
    <xf numFmtId="0" fontId="10" fillId="0" borderId="110" xfId="0" applyFont="1" applyBorder="1" applyAlignment="1">
      <alignment horizontal="center" vertical="center" wrapText="1"/>
    </xf>
    <xf numFmtId="0" fontId="10" fillId="0" borderId="108" xfId="0" applyFont="1" applyBorder="1" applyAlignment="1">
      <alignment horizontal="center" vertical="center" wrapText="1"/>
    </xf>
    <xf numFmtId="0" fontId="10" fillId="0" borderId="110" xfId="0" quotePrefix="1" applyFont="1" applyBorder="1" applyAlignment="1">
      <alignment horizontal="center" vertical="center" wrapText="1"/>
    </xf>
    <xf numFmtId="0" fontId="10" fillId="0" borderId="111" xfId="0" applyFont="1" applyBorder="1" applyAlignment="1">
      <alignment horizontal="left" vertical="center" wrapText="1"/>
    </xf>
    <xf numFmtId="167" fontId="10" fillId="0" borderId="101" xfId="345" applyFont="1" applyBorder="1" applyAlignment="1">
      <alignment horizontal="center" vertical="center"/>
    </xf>
    <xf numFmtId="167" fontId="10" fillId="0" borderId="110" xfId="345" applyFont="1" applyBorder="1" applyAlignment="1">
      <alignment horizontal="center" vertical="center"/>
    </xf>
    <xf numFmtId="167" fontId="10" fillId="34" borderId="101" xfId="345" applyFont="1" applyFill="1" applyBorder="1" applyAlignment="1">
      <alignment vertical="center"/>
    </xf>
    <xf numFmtId="0" fontId="9" fillId="35" borderId="111" xfId="0" applyFont="1" applyFill="1" applyBorder="1" applyAlignment="1">
      <alignment vertical="center"/>
    </xf>
    <xf numFmtId="167" fontId="9" fillId="35" borderId="110" xfId="345" applyFont="1" applyFill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9" fillId="0" borderId="111" xfId="0" applyFont="1" applyBorder="1" applyAlignment="1">
      <alignment vertical="center"/>
    </xf>
    <xf numFmtId="167" fontId="9" fillId="0" borderId="111" xfId="345" applyFont="1" applyBorder="1" applyAlignment="1">
      <alignment vertical="center"/>
    </xf>
    <xf numFmtId="0" fontId="9" fillId="0" borderId="110" xfId="0" applyFont="1" applyBorder="1" applyAlignment="1">
      <alignment vertical="center"/>
    </xf>
    <xf numFmtId="14" fontId="14" fillId="0" borderId="101" xfId="0" applyNumberFormat="1" applyFont="1" applyBorder="1" applyAlignment="1">
      <alignment horizontal="center" vertical="center"/>
    </xf>
    <xf numFmtId="14" fontId="14" fillId="0" borderId="101" xfId="0" applyNumberFormat="1" applyFont="1" applyBorder="1" applyAlignment="1">
      <alignment horizontal="center" vertical="center" wrapText="1"/>
    </xf>
    <xf numFmtId="0" fontId="14" fillId="0" borderId="101" xfId="0" applyFont="1" applyBorder="1" applyAlignment="1">
      <alignment horizontal="center" vertical="center"/>
    </xf>
    <xf numFmtId="167" fontId="9" fillId="0" borderId="110" xfId="345" applyFont="1" applyFill="1" applyBorder="1" applyAlignment="1">
      <alignment vertical="center"/>
    </xf>
    <xf numFmtId="167" fontId="10" fillId="0" borderId="101" xfId="345" applyFont="1" applyFill="1" applyBorder="1" applyAlignment="1">
      <alignment horizontal="center" vertical="center"/>
    </xf>
    <xf numFmtId="10" fontId="10" fillId="0" borderId="101" xfId="486" applyNumberFormat="1" applyFont="1" applyFill="1" applyBorder="1" applyAlignment="1">
      <alignment horizontal="center" vertical="center"/>
    </xf>
    <xf numFmtId="167" fontId="9" fillId="0" borderId="101" xfId="345" applyBorder="1" applyAlignment="1">
      <alignment horizontal="center" vertical="center"/>
    </xf>
    <xf numFmtId="0" fontId="10" fillId="0" borderId="112" xfId="1711" applyFont="1" applyBorder="1" applyAlignment="1">
      <alignment horizontal="center" vertical="center" wrapText="1"/>
    </xf>
    <xf numFmtId="0" fontId="10" fillId="0" borderId="113" xfId="1711" applyFont="1" applyBorder="1" applyAlignment="1">
      <alignment horizontal="center" vertical="center" wrapText="1"/>
    </xf>
    <xf numFmtId="177" fontId="10" fillId="0" borderId="114" xfId="379" applyFont="1" applyBorder="1" applyAlignment="1">
      <alignment horizontal="center" vertical="center" wrapText="1"/>
    </xf>
    <xf numFmtId="0" fontId="10" fillId="0" borderId="115" xfId="1711" applyFont="1" applyBorder="1" applyAlignment="1">
      <alignment horizontal="center" vertical="center" wrapText="1"/>
    </xf>
    <xf numFmtId="0" fontId="40" fillId="0" borderId="116" xfId="1711" applyFont="1" applyBorder="1" applyAlignment="1">
      <alignment horizontal="center" vertical="center"/>
    </xf>
    <xf numFmtId="0" fontId="10" fillId="0" borderId="112" xfId="1711" applyFont="1" applyBorder="1" applyAlignment="1">
      <alignment horizontal="center" vertical="center"/>
    </xf>
    <xf numFmtId="0" fontId="10" fillId="0" borderId="117" xfId="1711" applyFont="1" applyBorder="1" applyAlignment="1">
      <alignment horizontal="center" vertical="center"/>
    </xf>
    <xf numFmtId="167" fontId="10" fillId="0" borderId="118" xfId="3371" applyFont="1" applyBorder="1" applyAlignment="1">
      <alignment vertical="center"/>
    </xf>
    <xf numFmtId="167" fontId="10" fillId="0" borderId="98" xfId="3371" applyFont="1" applyBorder="1" applyAlignment="1">
      <alignment vertical="center"/>
    </xf>
    <xf numFmtId="167" fontId="10" fillId="0" borderId="119" xfId="3371" applyFont="1" applyBorder="1" applyAlignment="1">
      <alignment vertical="center"/>
    </xf>
    <xf numFmtId="0" fontId="9" fillId="0" borderId="111" xfId="0" applyFont="1" applyBorder="1" applyAlignment="1">
      <alignment horizontal="center" vertical="center"/>
    </xf>
    <xf numFmtId="167" fontId="9" fillId="0" borderId="110" xfId="345" applyFont="1" applyBorder="1" applyAlignment="1">
      <alignment horizontal="center" vertical="center"/>
    </xf>
    <xf numFmtId="0" fontId="9" fillId="0" borderId="110" xfId="0" applyFont="1" applyBorder="1" applyAlignment="1">
      <alignment horizontal="center" vertical="center"/>
    </xf>
    <xf numFmtId="0" fontId="9" fillId="0" borderId="110" xfId="0" applyFont="1" applyBorder="1" applyAlignment="1">
      <alignment horizontal="center" vertical="center" wrapText="1"/>
    </xf>
    <xf numFmtId="0" fontId="9" fillId="0" borderId="98" xfId="0" applyFont="1" applyBorder="1" applyAlignment="1">
      <alignment horizontal="center" vertical="center"/>
    </xf>
    <xf numFmtId="167" fontId="9" fillId="0" borderId="101" xfId="345" applyFont="1" applyBorder="1"/>
    <xf numFmtId="173" fontId="9" fillId="0" borderId="101" xfId="0" applyNumberFormat="1" applyFont="1" applyBorder="1"/>
    <xf numFmtId="167" fontId="9" fillId="0" borderId="101" xfId="345" applyFont="1" applyBorder="1" applyAlignment="1">
      <alignment vertical="center"/>
    </xf>
    <xf numFmtId="0" fontId="9" fillId="0" borderId="101" xfId="0" applyFont="1" applyBorder="1"/>
    <xf numFmtId="0" fontId="9" fillId="0" borderId="111" xfId="0" applyFont="1" applyBorder="1"/>
    <xf numFmtId="0" fontId="9" fillId="0" borderId="98" xfId="0" applyFont="1" applyBorder="1"/>
    <xf numFmtId="167" fontId="39" fillId="0" borderId="100" xfId="345" applyFont="1" applyBorder="1" applyAlignment="1">
      <alignment horizontal="center"/>
    </xf>
    <xf numFmtId="0" fontId="9" fillId="0" borderId="111" xfId="0" applyFont="1" applyBorder="1" applyAlignment="1">
      <alignment horizontal="center"/>
    </xf>
    <xf numFmtId="167" fontId="9" fillId="0" borderId="110" xfId="345" applyFont="1" applyBorder="1" applyAlignment="1">
      <alignment horizontal="center"/>
    </xf>
    <xf numFmtId="0" fontId="9" fillId="0" borderId="110" xfId="0" applyFont="1" applyBorder="1" applyAlignment="1">
      <alignment horizontal="center"/>
    </xf>
    <xf numFmtId="0" fontId="9" fillId="0" borderId="98" xfId="0" applyFont="1" applyBorder="1" applyAlignment="1">
      <alignment horizontal="center"/>
    </xf>
    <xf numFmtId="0" fontId="11" fillId="0" borderId="111" xfId="408" applyBorder="1"/>
    <xf numFmtId="0" fontId="10" fillId="0" borderId="110" xfId="408" applyFont="1" applyBorder="1" applyAlignment="1">
      <alignment horizontal="center"/>
    </xf>
    <xf numFmtId="0" fontId="11" fillId="0" borderId="111" xfId="408" applyBorder="1" applyAlignment="1">
      <alignment horizontal="center"/>
    </xf>
    <xf numFmtId="0" fontId="11" fillId="0" borderId="110" xfId="408" applyBorder="1" applyAlignment="1">
      <alignment horizontal="center"/>
    </xf>
    <xf numFmtId="0" fontId="11" fillId="0" borderId="98" xfId="408" applyBorder="1"/>
    <xf numFmtId="181" fontId="10" fillId="0" borderId="100" xfId="3412" applyFont="1" applyBorder="1"/>
    <xf numFmtId="173" fontId="11" fillId="0" borderId="98" xfId="408" applyNumberFormat="1" applyBorder="1" applyAlignment="1">
      <alignment horizontal="center"/>
    </xf>
    <xf numFmtId="0" fontId="11" fillId="0" borderId="110" xfId="408" applyBorder="1"/>
    <xf numFmtId="0" fontId="11" fillId="0" borderId="101" xfId="408" applyBorder="1"/>
    <xf numFmtId="0" fontId="10" fillId="0" borderId="101" xfId="408" applyFont="1" applyBorder="1" applyAlignment="1">
      <alignment horizontal="center" vertical="center" wrapText="1"/>
    </xf>
    <xf numFmtId="0" fontId="11" fillId="0" borderId="101" xfId="408" applyBorder="1" applyAlignment="1">
      <alignment horizontal="center" vertical="center" wrapText="1"/>
    </xf>
    <xf numFmtId="0" fontId="11" fillId="0" borderId="101" xfId="408" applyBorder="1" applyAlignment="1">
      <alignment horizontal="center" vertical="center" wrapText="1"/>
    </xf>
    <xf numFmtId="0" fontId="10" fillId="0" borderId="120" xfId="0" applyFont="1" applyBorder="1" applyAlignment="1">
      <alignment horizontal="center" vertical="center" wrapText="1"/>
    </xf>
    <xf numFmtId="0" fontId="10" fillId="0" borderId="121" xfId="0" applyFont="1" applyBorder="1" applyAlignment="1">
      <alignment horizontal="center" vertical="center" wrapText="1"/>
    </xf>
    <xf numFmtId="167" fontId="9" fillId="40" borderId="122" xfId="3543" applyFill="1" applyBorder="1"/>
    <xf numFmtId="0" fontId="9" fillId="0" borderId="120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center" vertical="center" wrapText="1"/>
    </xf>
    <xf numFmtId="0" fontId="9" fillId="0" borderId="121" xfId="0" applyFont="1" applyBorder="1" applyAlignment="1">
      <alignment horizontal="center" vertical="center" wrapText="1"/>
    </xf>
    <xf numFmtId="0" fontId="9" fillId="0" borderId="120" xfId="0" applyFont="1" applyBorder="1" applyAlignment="1">
      <alignment horizontal="right" vertical="center"/>
    </xf>
    <xf numFmtId="0" fontId="9" fillId="0" borderId="121" xfId="0" applyFont="1" applyBorder="1" applyAlignment="1">
      <alignment horizontal="right" vertical="center"/>
    </xf>
    <xf numFmtId="167" fontId="9" fillId="0" borderId="122" xfId="3543" applyFill="1" applyBorder="1"/>
    <xf numFmtId="0" fontId="10" fillId="0" borderId="120" xfId="0" applyFont="1" applyBorder="1" applyAlignment="1">
      <alignment horizontal="center" vertical="center"/>
    </xf>
    <xf numFmtId="0" fontId="10" fillId="0" borderId="121" xfId="0" applyFont="1" applyBorder="1" applyAlignment="1">
      <alignment horizontal="center" vertical="center"/>
    </xf>
    <xf numFmtId="167" fontId="9" fillId="40" borderId="122" xfId="3543" applyFill="1" applyBorder="1" applyAlignment="1">
      <alignment vertical="center"/>
    </xf>
    <xf numFmtId="167" fontId="9" fillId="40" borderId="122" xfId="3543" applyFont="1" applyFill="1" applyBorder="1" applyAlignment="1">
      <alignment vertical="center"/>
    </xf>
    <xf numFmtId="0" fontId="9" fillId="0" borderId="120" xfId="0" applyFont="1" applyBorder="1" applyAlignment="1">
      <alignment horizontal="left" vertical="center"/>
    </xf>
    <xf numFmtId="0" fontId="9" fillId="0" borderId="121" xfId="0" applyFont="1" applyBorder="1" applyAlignment="1">
      <alignment horizontal="left" vertical="center"/>
    </xf>
    <xf numFmtId="0" fontId="9" fillId="0" borderId="120" xfId="0" applyFont="1" applyBorder="1" applyAlignment="1">
      <alignment horizontal="left" vertical="center" wrapText="1"/>
    </xf>
    <xf numFmtId="0" fontId="9" fillId="0" borderId="121" xfId="0" applyFont="1" applyBorder="1" applyAlignment="1">
      <alignment horizontal="left" vertical="center" wrapText="1"/>
    </xf>
    <xf numFmtId="0" fontId="10" fillId="0" borderId="123" xfId="0" applyFont="1" applyBorder="1" applyAlignment="1">
      <alignment horizontal="center" vertical="center"/>
    </xf>
    <xf numFmtId="0" fontId="9" fillId="0" borderId="121" xfId="0" applyFont="1" applyBorder="1" applyAlignment="1">
      <alignment horizontal="center" vertical="center"/>
    </xf>
    <xf numFmtId="167" fontId="10" fillId="0" borderId="124" xfId="345" applyFont="1" applyBorder="1" applyAlignment="1">
      <alignment horizontal="center" vertical="center" wrapText="1"/>
    </xf>
    <xf numFmtId="0" fontId="10" fillId="0" borderId="122" xfId="0" applyFont="1" applyBorder="1" applyAlignment="1">
      <alignment horizontal="center" vertical="center" wrapText="1"/>
    </xf>
    <xf numFmtId="0" fontId="10" fillId="0" borderId="123" xfId="0" applyFont="1" applyBorder="1" applyAlignment="1">
      <alignment horizontal="center" vertical="center" wrapText="1"/>
    </xf>
    <xf numFmtId="173" fontId="10" fillId="0" borderId="122" xfId="0" applyNumberFormat="1" applyFont="1" applyBorder="1" applyAlignment="1">
      <alignment horizontal="center" vertical="center" wrapText="1"/>
    </xf>
    <xf numFmtId="0" fontId="10" fillId="0" borderId="120" xfId="0" applyFont="1" applyBorder="1" applyAlignment="1">
      <alignment horizontal="center" vertical="center" wrapText="1"/>
    </xf>
    <xf numFmtId="0" fontId="10" fillId="0" borderId="121" xfId="0" applyFont="1" applyBorder="1" applyAlignment="1">
      <alignment horizontal="center" vertical="center" wrapText="1"/>
    </xf>
    <xf numFmtId="167" fontId="10" fillId="0" borderId="122" xfId="0" applyNumberFormat="1" applyFont="1" applyBorder="1" applyAlignment="1">
      <alignment horizontal="center" vertical="center" wrapText="1"/>
    </xf>
    <xf numFmtId="167" fontId="10" fillId="0" borderId="123" xfId="0" applyNumberFormat="1" applyFont="1" applyBorder="1" applyAlignment="1">
      <alignment horizontal="center" vertical="center" wrapText="1"/>
    </xf>
    <xf numFmtId="173" fontId="9" fillId="0" borderId="124" xfId="0" applyNumberFormat="1" applyFont="1" applyBorder="1" applyAlignment="1">
      <alignment horizontal="center" vertical="center"/>
    </xf>
    <xf numFmtId="14" fontId="10" fillId="34" borderId="122" xfId="0" applyNumberFormat="1" applyFont="1" applyFill="1" applyBorder="1" applyAlignment="1">
      <alignment vertical="center"/>
    </xf>
    <xf numFmtId="14" fontId="10" fillId="34" borderId="122" xfId="0" applyNumberFormat="1" applyFont="1" applyFill="1" applyBorder="1" applyAlignment="1">
      <alignment horizontal="right" vertical="center"/>
    </xf>
    <xf numFmtId="173" fontId="10" fillId="34" borderId="122" xfId="0" applyNumberFormat="1" applyFont="1" applyFill="1" applyBorder="1" applyAlignment="1">
      <alignment horizontal="center" vertical="center"/>
    </xf>
    <xf numFmtId="168" fontId="10" fillId="34" borderId="122" xfId="345" applyNumberFormat="1" applyFont="1" applyFill="1" applyBorder="1" applyAlignment="1">
      <alignment vertical="center"/>
    </xf>
    <xf numFmtId="167" fontId="10" fillId="34" borderId="122" xfId="345" applyFont="1" applyFill="1" applyBorder="1" applyAlignment="1">
      <alignment vertical="center"/>
    </xf>
    <xf numFmtId="167" fontId="9" fillId="34" borderId="122" xfId="345" applyFont="1" applyFill="1" applyBorder="1" applyAlignment="1">
      <alignment vertical="center"/>
    </xf>
    <xf numFmtId="167" fontId="9" fillId="34" borderId="122" xfId="0" applyNumberFormat="1" applyFont="1" applyFill="1" applyBorder="1" applyAlignment="1">
      <alignment vertical="center"/>
    </xf>
    <xf numFmtId="167" fontId="10" fillId="38" borderId="122" xfId="345" applyFont="1" applyFill="1" applyBorder="1" applyAlignment="1">
      <alignment horizontal="center" vertical="center"/>
    </xf>
    <xf numFmtId="167" fontId="10" fillId="34" borderId="122" xfId="0" applyNumberFormat="1" applyFont="1" applyFill="1" applyBorder="1" applyAlignment="1">
      <alignment vertical="center"/>
    </xf>
    <xf numFmtId="4" fontId="133" fillId="0" borderId="122" xfId="6172" applyNumberFormat="1" applyFont="1" applyBorder="1" applyAlignment="1">
      <alignment horizontal="center" vertical="center" wrapText="1"/>
    </xf>
    <xf numFmtId="4" fontId="133" fillId="0" borderId="124" xfId="6172" applyNumberFormat="1" applyFont="1" applyBorder="1" applyAlignment="1">
      <alignment horizontal="center" vertical="center" wrapText="1"/>
    </xf>
    <xf numFmtId="4" fontId="17" fillId="0" borderId="124" xfId="8968" applyNumberFormat="1" applyFont="1" applyBorder="1" applyAlignment="1">
      <alignment horizontal="center" vertical="center" wrapText="1"/>
    </xf>
    <xf numFmtId="4" fontId="17" fillId="0" borderId="114" xfId="8968" applyNumberFormat="1" applyFont="1" applyBorder="1" applyAlignment="1">
      <alignment horizontal="center" vertical="center" wrapText="1"/>
    </xf>
    <xf numFmtId="167" fontId="9" fillId="0" borderId="114" xfId="6173" applyFont="1" applyBorder="1" applyAlignment="1">
      <alignment horizontal="center" vertical="center"/>
    </xf>
    <xf numFmtId="167" fontId="9" fillId="0" borderId="124" xfId="6173" applyFont="1" applyBorder="1" applyAlignment="1">
      <alignment horizontal="center" vertical="center"/>
    </xf>
    <xf numFmtId="0" fontId="10" fillId="0" borderId="122" xfId="8968" applyFont="1" applyBorder="1" applyAlignment="1">
      <alignment vertical="center"/>
    </xf>
    <xf numFmtId="3" fontId="10" fillId="0" borderId="122" xfId="8968" applyNumberFormat="1" applyFont="1" applyBorder="1" applyAlignment="1">
      <alignment horizontal="center" vertical="center"/>
    </xf>
    <xf numFmtId="0" fontId="10" fillId="0" borderId="121" xfId="8968" applyFont="1" applyBorder="1" applyAlignment="1">
      <alignment vertical="center"/>
    </xf>
    <xf numFmtId="167" fontId="10" fillId="0" borderId="122" xfId="8968" applyNumberFormat="1" applyFont="1" applyBorder="1" applyAlignment="1">
      <alignment vertical="center"/>
    </xf>
    <xf numFmtId="167" fontId="10" fillId="0" borderId="122" xfId="6173" applyFont="1" applyBorder="1" applyAlignment="1">
      <alignment horizontal="center" vertical="center"/>
    </xf>
    <xf numFmtId="164" fontId="9" fillId="0" borderId="122" xfId="8967" applyNumberFormat="1" applyBorder="1"/>
    <xf numFmtId="4" fontId="120" fillId="0" borderId="122" xfId="6172" applyNumberFormat="1" applyFont="1" applyBorder="1" applyAlignment="1">
      <alignment horizontal="center" vertical="center" wrapText="1"/>
    </xf>
    <xf numFmtId="4" fontId="120" fillId="0" borderId="124" xfId="6172" applyNumberFormat="1" applyFont="1" applyBorder="1" applyAlignment="1">
      <alignment horizontal="center" vertical="center" wrapText="1"/>
    </xf>
    <xf numFmtId="4" fontId="14" fillId="0" borderId="124" xfId="6172" applyNumberFormat="1" applyFont="1" applyBorder="1" applyAlignment="1">
      <alignment horizontal="center" vertical="center" wrapText="1"/>
    </xf>
    <xf numFmtId="4" fontId="14" fillId="0" borderId="114" xfId="6172" applyNumberFormat="1" applyFont="1" applyBorder="1" applyAlignment="1">
      <alignment horizontal="center" vertical="center" wrapText="1"/>
    </xf>
    <xf numFmtId="167" fontId="13" fillId="0" borderId="114" xfId="6173" applyFont="1" applyBorder="1" applyAlignment="1">
      <alignment horizontal="center" vertical="center"/>
    </xf>
    <xf numFmtId="181" fontId="14" fillId="0" borderId="120" xfId="6172" applyFont="1" applyBorder="1" applyAlignment="1">
      <alignment vertical="center"/>
    </xf>
    <xf numFmtId="181" fontId="14" fillId="0" borderId="122" xfId="6172" applyFont="1" applyBorder="1" applyAlignment="1">
      <alignment vertical="center"/>
    </xf>
    <xf numFmtId="3" fontId="14" fillId="0" borderId="122" xfId="6172" applyNumberFormat="1" applyFont="1" applyBorder="1" applyAlignment="1">
      <alignment horizontal="center" vertical="center"/>
    </xf>
    <xf numFmtId="181" fontId="14" fillId="0" borderId="121" xfId="6172" applyFont="1" applyBorder="1" applyAlignment="1">
      <alignment vertical="center"/>
    </xf>
    <xf numFmtId="167" fontId="14" fillId="0" borderId="122" xfId="6172" applyNumberFormat="1" applyFont="1" applyBorder="1" applyAlignment="1">
      <alignment vertical="center"/>
    </xf>
    <xf numFmtId="167" fontId="14" fillId="0" borderId="122" xfId="6173" applyFont="1" applyFill="1" applyBorder="1" applyAlignment="1">
      <alignment horizontal="center" vertical="center"/>
    </xf>
    <xf numFmtId="9" fontId="9" fillId="0" borderId="123" xfId="486" applyFont="1" applyBorder="1" applyAlignment="1">
      <alignment horizontal="center" vertical="center"/>
    </xf>
    <xf numFmtId="167" fontId="9" fillId="0" borderId="123" xfId="596" applyNumberFormat="1" applyFont="1" applyBorder="1" applyAlignment="1">
      <alignment horizontal="center" vertical="center"/>
    </xf>
    <xf numFmtId="4" fontId="10" fillId="0" borderId="122" xfId="408" applyNumberFormat="1" applyFont="1" applyBorder="1" applyAlignment="1">
      <alignment horizontal="center" vertical="center" wrapText="1"/>
    </xf>
    <xf numFmtId="14" fontId="57" fillId="0" borderId="124" xfId="3411" applyNumberFormat="1" applyFont="1" applyBorder="1" applyAlignment="1">
      <alignment horizontal="center" vertical="center" wrapText="1"/>
    </xf>
    <xf numFmtId="0" fontId="10" fillId="0" borderId="122" xfId="408" applyFont="1" applyBorder="1" applyAlignment="1">
      <alignment vertical="center"/>
    </xf>
    <xf numFmtId="165" fontId="10" fillId="0" borderId="122" xfId="357" applyNumberFormat="1" applyFont="1" applyBorder="1" applyAlignment="1">
      <alignment horizontal="center" vertical="center"/>
    </xf>
    <xf numFmtId="3" fontId="10" fillId="0" borderId="122" xfId="408" applyNumberFormat="1" applyFont="1" applyBorder="1" applyAlignment="1">
      <alignment horizontal="center" vertical="center"/>
    </xf>
    <xf numFmtId="167" fontId="10" fillId="0" borderId="122" xfId="357" applyNumberFormat="1" applyFont="1" applyBorder="1" applyAlignment="1">
      <alignment vertical="center"/>
    </xf>
    <xf numFmtId="167" fontId="10" fillId="0" borderId="122" xfId="357" applyNumberFormat="1" applyFont="1" applyBorder="1" applyAlignment="1">
      <alignment horizontal="center" vertical="center"/>
    </xf>
    <xf numFmtId="167" fontId="9" fillId="0" borderId="123" xfId="345" applyBorder="1"/>
    <xf numFmtId="167" fontId="11" fillId="0" borderId="123" xfId="408" applyNumberFormat="1" applyBorder="1"/>
    <xf numFmtId="164" fontId="11" fillId="0" borderId="122" xfId="346" applyNumberFormat="1" applyBorder="1"/>
    <xf numFmtId="10" fontId="10" fillId="116" borderId="120" xfId="0" applyNumberFormat="1" applyFont="1" applyFill="1" applyBorder="1" applyAlignment="1">
      <alignment horizontal="center" vertical="center" wrapText="1"/>
    </xf>
    <xf numFmtId="10" fontId="10" fillId="116" borderId="121" xfId="0" applyNumberFormat="1" applyFont="1" applyFill="1" applyBorder="1" applyAlignment="1">
      <alignment horizontal="center" vertical="center" wrapText="1"/>
    </xf>
    <xf numFmtId="167" fontId="10" fillId="126" borderId="122" xfId="345" applyFont="1" applyFill="1" applyBorder="1"/>
    <xf numFmtId="14" fontId="10" fillId="120" borderId="122" xfId="0" applyNumberFormat="1" applyFont="1" applyFill="1" applyBorder="1" applyAlignment="1">
      <alignment horizontal="center" vertical="center"/>
    </xf>
    <xf numFmtId="14" fontId="10" fillId="119" borderId="122" xfId="0" applyNumberFormat="1" applyFont="1" applyFill="1" applyBorder="1" applyAlignment="1">
      <alignment horizontal="center" vertical="center"/>
    </xf>
    <xf numFmtId="14" fontId="10" fillId="123" borderId="122" xfId="0" applyNumberFormat="1" applyFont="1" applyFill="1" applyBorder="1" applyAlignment="1">
      <alignment horizontal="center" vertical="center"/>
    </xf>
    <xf numFmtId="14" fontId="10" fillId="128" borderId="122" xfId="0" applyNumberFormat="1" applyFont="1" applyFill="1" applyBorder="1" applyAlignment="1">
      <alignment horizontal="center" vertical="center"/>
    </xf>
    <xf numFmtId="0" fontId="46" fillId="36" borderId="120" xfId="0" applyFont="1" applyFill="1" applyBorder="1" applyAlignment="1">
      <alignment horizontal="center" vertical="center" wrapText="1"/>
    </xf>
    <xf numFmtId="0" fontId="46" fillId="37" borderId="120" xfId="0" applyFont="1" applyFill="1" applyBorder="1" applyAlignment="1">
      <alignment horizontal="center" vertical="center" wrapText="1"/>
    </xf>
    <xf numFmtId="0" fontId="10" fillId="116" borderId="121" xfId="0" applyFont="1" applyFill="1" applyBorder="1" applyAlignment="1">
      <alignment horizontal="center" vertical="center" wrapText="1"/>
    </xf>
    <xf numFmtId="0" fontId="10" fillId="126" borderId="122" xfId="0" applyFont="1" applyFill="1" applyBorder="1" applyAlignment="1">
      <alignment horizontal="center" vertical="center" wrapText="1"/>
    </xf>
    <xf numFmtId="0" fontId="10" fillId="120" borderId="122" xfId="0" applyFont="1" applyFill="1" applyBorder="1" applyAlignment="1">
      <alignment horizontal="center" vertical="center" wrapText="1"/>
    </xf>
    <xf numFmtId="0" fontId="10" fillId="119" borderId="122" xfId="0" applyFont="1" applyFill="1" applyBorder="1" applyAlignment="1">
      <alignment horizontal="center" vertical="center" wrapText="1"/>
    </xf>
    <xf numFmtId="0" fontId="10" fillId="123" borderId="122" xfId="0" applyFont="1" applyFill="1" applyBorder="1" applyAlignment="1">
      <alignment horizontal="center" vertical="center" wrapText="1"/>
    </xf>
    <xf numFmtId="0" fontId="10" fillId="128" borderId="122" xfId="0" applyFont="1" applyFill="1" applyBorder="1" applyAlignment="1">
      <alignment horizontal="center" vertical="center" wrapText="1"/>
    </xf>
    <xf numFmtId="0" fontId="10" fillId="127" borderId="98" xfId="0" applyFont="1" applyFill="1" applyBorder="1" applyAlignment="1">
      <alignment horizontal="center" vertical="center" wrapText="1"/>
    </xf>
    <xf numFmtId="0" fontId="10" fillId="127" borderId="125" xfId="0" applyFont="1" applyFill="1" applyBorder="1" applyAlignment="1">
      <alignment horizontal="center" vertical="center" wrapText="1"/>
    </xf>
    <xf numFmtId="167" fontId="9" fillId="0" borderId="124" xfId="345" applyFont="1" applyBorder="1" applyAlignment="1">
      <alignment horizontal="center" vertical="center"/>
    </xf>
    <xf numFmtId="0" fontId="129" fillId="0" borderId="122" xfId="0" applyFont="1" applyBorder="1" applyAlignment="1">
      <alignment vertical="center"/>
    </xf>
    <xf numFmtId="168" fontId="10" fillId="36" borderId="120" xfId="345" applyNumberFormat="1" applyFont="1" applyFill="1" applyBorder="1" applyAlignment="1">
      <alignment vertical="center"/>
    </xf>
    <xf numFmtId="167" fontId="10" fillId="37" borderId="120" xfId="345" applyFont="1" applyFill="1" applyBorder="1" applyAlignment="1">
      <alignment vertical="center"/>
    </xf>
    <xf numFmtId="167" fontId="129" fillId="0" borderId="122" xfId="345" applyFont="1" applyFill="1" applyBorder="1" applyAlignment="1">
      <alignment vertical="center"/>
    </xf>
    <xf numFmtId="199" fontId="10" fillId="0" borderId="122" xfId="486" applyNumberFormat="1" applyFont="1" applyBorder="1" applyAlignment="1">
      <alignment horizontal="center" vertical="center"/>
    </xf>
    <xf numFmtId="167" fontId="129" fillId="116" borderId="120" xfId="345" applyFont="1" applyFill="1" applyBorder="1" applyAlignment="1">
      <alignment vertical="center"/>
    </xf>
    <xf numFmtId="3" fontId="10" fillId="116" borderId="121" xfId="0" applyNumberFormat="1" applyFont="1" applyFill="1" applyBorder="1" applyAlignment="1">
      <alignment vertical="center"/>
    </xf>
    <xf numFmtId="167" fontId="9" fillId="126" borderId="122" xfId="345" applyFont="1" applyFill="1" applyBorder="1"/>
    <xf numFmtId="14" fontId="9" fillId="120" borderId="122" xfId="0" applyNumberFormat="1" applyFont="1" applyFill="1" applyBorder="1" applyAlignment="1">
      <alignment horizontal="center" vertical="center"/>
    </xf>
    <xf numFmtId="14" fontId="9" fillId="119" borderId="122" xfId="0" applyNumberFormat="1" applyFont="1" applyFill="1" applyBorder="1" applyAlignment="1">
      <alignment horizontal="center" vertical="center"/>
    </xf>
    <xf numFmtId="14" fontId="9" fillId="123" borderId="122" xfId="0" applyNumberFormat="1" applyFont="1" applyFill="1" applyBorder="1" applyAlignment="1">
      <alignment horizontal="center" vertical="center"/>
    </xf>
    <xf numFmtId="14" fontId="9" fillId="128" borderId="122" xfId="0" applyNumberFormat="1" applyFont="1" applyFill="1" applyBorder="1" applyAlignment="1">
      <alignment horizontal="center" vertical="center"/>
    </xf>
    <xf numFmtId="168" fontId="10" fillId="36" borderId="124" xfId="345" applyNumberFormat="1" applyFont="1" applyFill="1" applyBorder="1" applyAlignment="1">
      <alignment vertical="center"/>
    </xf>
    <xf numFmtId="167" fontId="129" fillId="0" borderId="124" xfId="345" applyFont="1" applyFill="1" applyBorder="1" applyAlignment="1">
      <alignment vertical="center"/>
    </xf>
    <xf numFmtId="0" fontId="9" fillId="0" borderId="100" xfId="0" applyFont="1" applyBorder="1" applyAlignment="1">
      <alignment horizontal="center" vertical="center"/>
    </xf>
    <xf numFmtId="167" fontId="9" fillId="37" borderId="100" xfId="345" applyFont="1" applyFill="1" applyBorder="1" applyAlignment="1">
      <alignment vertical="center"/>
    </xf>
    <xf numFmtId="0" fontId="10" fillId="0" borderId="122" xfId="0" applyFont="1" applyBorder="1" applyAlignment="1">
      <alignment vertical="center"/>
    </xf>
    <xf numFmtId="168" fontId="10" fillId="36" borderId="122" xfId="345" applyNumberFormat="1" applyFont="1" applyFill="1" applyBorder="1" applyAlignment="1">
      <alignment vertical="center"/>
    </xf>
    <xf numFmtId="167" fontId="10" fillId="37" borderId="121" xfId="345" applyFont="1" applyFill="1" applyBorder="1" applyAlignment="1">
      <alignment vertical="center"/>
    </xf>
    <xf numFmtId="167" fontId="10" fillId="0" borderId="120" xfId="345" applyFont="1" applyBorder="1" applyAlignment="1">
      <alignment vertical="center"/>
    </xf>
    <xf numFmtId="167" fontId="10" fillId="0" borderId="122" xfId="345" applyFont="1" applyBorder="1" applyAlignment="1">
      <alignment vertical="center"/>
    </xf>
    <xf numFmtId="0" fontId="9" fillId="0" borderId="123" xfId="0" applyFont="1" applyBorder="1" applyAlignment="1">
      <alignment vertical="center"/>
    </xf>
    <xf numFmtId="168" fontId="9" fillId="36" borderId="120" xfId="345" applyNumberFormat="1" applyFont="1" applyFill="1" applyBorder="1" applyAlignment="1">
      <alignment vertical="center"/>
    </xf>
    <xf numFmtId="167" fontId="10" fillId="37" borderId="122" xfId="345" applyFont="1" applyFill="1" applyBorder="1" applyAlignment="1">
      <alignment vertical="center"/>
    </xf>
    <xf numFmtId="0" fontId="0" fillId="0" borderId="122" xfId="0" applyBorder="1" applyAlignment="1">
      <alignment horizontal="center"/>
    </xf>
    <xf numFmtId="0" fontId="9" fillId="0" borderId="122" xfId="0" applyFont="1" applyBorder="1" applyAlignment="1">
      <alignment horizontal="center"/>
    </xf>
    <xf numFmtId="167" fontId="0" fillId="0" borderId="122" xfId="345" applyFont="1" applyBorder="1" applyAlignment="1">
      <alignment horizontal="center"/>
    </xf>
    <xf numFmtId="179" fontId="0" fillId="0" borderId="122" xfId="0" applyNumberFormat="1" applyBorder="1" applyAlignment="1">
      <alignment horizontal="center"/>
    </xf>
    <xf numFmtId="167" fontId="10" fillId="0" borderId="122" xfId="345" applyFont="1" applyBorder="1" applyAlignment="1">
      <alignment horizontal="center" vertical="center" wrapText="1"/>
    </xf>
    <xf numFmtId="0" fontId="0" fillId="0" borderId="122" xfId="0" applyBorder="1"/>
    <xf numFmtId="4" fontId="0" fillId="0" borderId="122" xfId="0" applyNumberFormat="1" applyBorder="1" applyAlignment="1">
      <alignment horizontal="center"/>
    </xf>
    <xf numFmtId="170" fontId="0" fillId="0" borderId="122" xfId="345" applyNumberFormat="1" applyFont="1" applyBorder="1"/>
    <xf numFmtId="167" fontId="0" fillId="0" borderId="122" xfId="345" applyFont="1" applyBorder="1"/>
    <xf numFmtId="0" fontId="10" fillId="0" borderId="122" xfId="0" applyFont="1" applyBorder="1"/>
    <xf numFmtId="0" fontId="47" fillId="0" borderId="126" xfId="0" applyFont="1" applyBorder="1" applyAlignment="1">
      <alignment vertical="center" wrapText="1"/>
    </xf>
    <xf numFmtId="0" fontId="9" fillId="0" borderId="126" xfId="0" applyFont="1" applyBorder="1" applyAlignment="1">
      <alignment horizontal="center" vertical="center" wrapText="1"/>
    </xf>
    <xf numFmtId="167" fontId="9" fillId="0" borderId="123" xfId="345" applyFont="1" applyBorder="1" applyAlignment="1">
      <alignment horizontal="center" vertical="center" wrapText="1"/>
    </xf>
    <xf numFmtId="167" fontId="9" fillId="0" borderId="126" xfId="345" applyFont="1" applyBorder="1" applyAlignment="1">
      <alignment horizontal="center" vertical="center" wrapText="1"/>
    </xf>
    <xf numFmtId="0" fontId="10" fillId="0" borderId="127" xfId="0" applyFont="1" applyBorder="1"/>
    <xf numFmtId="0" fontId="10" fillId="0" borderId="128" xfId="0" applyFont="1" applyBorder="1"/>
    <xf numFmtId="167" fontId="10" fillId="0" borderId="123" xfId="345" applyFont="1" applyBorder="1"/>
    <xf numFmtId="167" fontId="10" fillId="0" borderId="126" xfId="345" applyFont="1" applyBorder="1" applyAlignment="1">
      <alignment horizontal="right"/>
    </xf>
    <xf numFmtId="0" fontId="9" fillId="0" borderId="129" xfId="0" applyFont="1" applyBorder="1" applyAlignment="1">
      <alignment vertical="center"/>
    </xf>
    <xf numFmtId="0" fontId="9" fillId="0" borderId="129" xfId="0" applyFont="1" applyBorder="1" applyAlignment="1">
      <alignment horizontal="center" vertical="center" wrapText="1"/>
    </xf>
    <xf numFmtId="0" fontId="9" fillId="0" borderId="129" xfId="0" applyFont="1" applyBorder="1" applyAlignment="1">
      <alignment horizontal="center" vertical="center"/>
    </xf>
    <xf numFmtId="167" fontId="9" fillId="0" borderId="130" xfId="345" applyFont="1" applyBorder="1" applyAlignment="1">
      <alignment horizontal="center" vertical="center" wrapText="1"/>
    </xf>
    <xf numFmtId="167" fontId="10" fillId="0" borderId="131" xfId="345" applyFont="1" applyBorder="1" applyAlignment="1">
      <alignment horizontal="right"/>
    </xf>
    <xf numFmtId="0" fontId="14" fillId="0" borderId="132" xfId="0" applyFont="1" applyBorder="1"/>
    <xf numFmtId="0" fontId="14" fillId="0" borderId="133" xfId="0" applyFont="1" applyBorder="1"/>
    <xf numFmtId="0" fontId="13" fillId="0" borderId="133" xfId="0" applyFont="1" applyBorder="1" applyAlignment="1">
      <alignment horizontal="center"/>
    </xf>
    <xf numFmtId="167" fontId="14" fillId="0" borderId="133" xfId="345" applyFont="1" applyBorder="1" applyAlignment="1">
      <alignment horizontal="center"/>
    </xf>
    <xf numFmtId="167" fontId="10" fillId="0" borderId="134" xfId="345" applyFont="1" applyBorder="1"/>
    <xf numFmtId="0" fontId="14" fillId="0" borderId="97" xfId="0" applyFont="1" applyBorder="1" applyAlignment="1">
      <alignment horizontal="left" vertical="center"/>
    </xf>
    <xf numFmtId="0" fontId="13" fillId="0" borderId="97" xfId="0" applyFont="1" applyBorder="1" applyAlignment="1">
      <alignment vertical="center"/>
    </xf>
    <xf numFmtId="14" fontId="10" fillId="0" borderId="124" xfId="0" applyNumberFormat="1" applyFont="1" applyBorder="1" applyAlignment="1">
      <alignment horizontal="center" vertical="center"/>
    </xf>
    <xf numFmtId="0" fontId="10" fillId="0" borderId="98" xfId="0" applyFont="1" applyBorder="1" applyAlignment="1">
      <alignment horizontal="center"/>
    </xf>
    <xf numFmtId="0" fontId="10" fillId="0" borderId="97" xfId="0" applyFont="1" applyBorder="1" applyAlignment="1">
      <alignment horizontal="center"/>
    </xf>
    <xf numFmtId="0" fontId="0" fillId="0" borderId="97" xfId="0" applyBorder="1"/>
    <xf numFmtId="167" fontId="0" fillId="0" borderId="97" xfId="345" applyFont="1" applyBorder="1" applyAlignment="1">
      <alignment horizontal="right"/>
    </xf>
    <xf numFmtId="0" fontId="0" fillId="0" borderId="100" xfId="0" applyBorder="1"/>
    <xf numFmtId="0" fontId="10" fillId="0" borderId="135" xfId="0" applyFont="1" applyBorder="1"/>
    <xf numFmtId="0" fontId="0" fillId="0" borderId="136" xfId="0" applyBorder="1"/>
    <xf numFmtId="167" fontId="10" fillId="0" borderId="137" xfId="345" applyFont="1" applyBorder="1"/>
    <xf numFmtId="0" fontId="10" fillId="0" borderId="111" xfId="0" applyFont="1" applyBorder="1"/>
    <xf numFmtId="167" fontId="10" fillId="0" borderId="124" xfId="345" applyFont="1" applyBorder="1"/>
    <xf numFmtId="0" fontId="10" fillId="0" borderId="111" xfId="3411" applyFont="1" applyBorder="1" applyAlignment="1">
      <alignment horizontal="center"/>
    </xf>
    <xf numFmtId="0" fontId="10" fillId="0" borderId="124" xfId="3411" applyFont="1" applyBorder="1" applyAlignment="1">
      <alignment horizontal="center"/>
    </xf>
    <xf numFmtId="168" fontId="9" fillId="0" borderId="124" xfId="6174" applyNumberFormat="1" applyFont="1" applyBorder="1"/>
    <xf numFmtId="168" fontId="10" fillId="0" borderId="124" xfId="6174" applyNumberFormat="1" applyFont="1" applyBorder="1"/>
    <xf numFmtId="0" fontId="10" fillId="0" borderId="98" xfId="3411" applyFont="1" applyBorder="1"/>
    <xf numFmtId="0" fontId="9" fillId="0" borderId="97" xfId="3411" applyBorder="1"/>
    <xf numFmtId="0" fontId="9" fillId="0" borderId="97" xfId="3411" quotePrefix="1" applyBorder="1"/>
    <xf numFmtId="0" fontId="9" fillId="0" borderId="100" xfId="3411" applyBorder="1"/>
    <xf numFmtId="0" fontId="14" fillId="0" borderId="135" xfId="3411" applyFont="1" applyBorder="1" applyAlignment="1">
      <alignment horizontal="center" vertical="center"/>
    </xf>
    <xf numFmtId="0" fontId="14" fillId="0" borderId="136" xfId="3411" applyFont="1" applyBorder="1" applyAlignment="1">
      <alignment horizontal="center" vertical="center"/>
    </xf>
    <xf numFmtId="0" fontId="14" fillId="0" borderId="138" xfId="3411" applyFont="1" applyBorder="1" applyAlignment="1">
      <alignment horizontal="center" vertical="center"/>
    </xf>
    <xf numFmtId="168" fontId="10" fillId="0" borderId="137" xfId="6174" applyNumberFormat="1" applyFont="1" applyBorder="1" applyAlignment="1">
      <alignment vertical="center"/>
    </xf>
    <xf numFmtId="0" fontId="10" fillId="0" borderId="97" xfId="3411" applyFont="1" applyBorder="1" applyAlignment="1">
      <alignment horizontal="center"/>
    </xf>
    <xf numFmtId="0" fontId="9" fillId="0" borderId="111" xfId="3411" applyBorder="1"/>
    <xf numFmtId="14" fontId="10" fillId="0" borderId="137" xfId="3411" applyNumberFormat="1" applyFont="1" applyBorder="1" applyAlignment="1">
      <alignment horizontal="center"/>
    </xf>
    <xf numFmtId="0" fontId="14" fillId="0" borderId="122" xfId="3411" applyFont="1" applyBorder="1" applyAlignment="1">
      <alignment horizontal="center" vertical="center" wrapText="1" shrinkToFit="1"/>
    </xf>
    <xf numFmtId="49" fontId="10" fillId="0" borderId="122" xfId="3411" applyNumberFormat="1" applyFont="1" applyBorder="1" applyAlignment="1">
      <alignment horizontal="center" vertical="center" wrapText="1" shrinkToFit="1"/>
    </xf>
    <xf numFmtId="14" fontId="10" fillId="0" borderId="122" xfId="3411" applyNumberFormat="1" applyFont="1" applyBorder="1" applyAlignment="1">
      <alignment horizontal="center" vertical="center" wrapText="1" shrinkToFit="1"/>
    </xf>
    <xf numFmtId="0" fontId="10" fillId="0" borderId="111" xfId="3411" applyFont="1" applyBorder="1" applyAlignment="1">
      <alignment horizontal="justify" vertical="center" wrapText="1" shrinkToFit="1"/>
    </xf>
    <xf numFmtId="49" fontId="10" fillId="0" borderId="124" xfId="3411" applyNumberFormat="1" applyFont="1" applyBorder="1" applyAlignment="1">
      <alignment horizontal="center" vertical="center" wrapText="1" shrinkToFit="1"/>
    </xf>
    <xf numFmtId="168" fontId="46" fillId="0" borderId="124" xfId="6176" applyNumberFormat="1" applyFont="1" applyBorder="1" applyAlignment="1">
      <alignment horizontal="center" shrinkToFit="1"/>
    </xf>
    <xf numFmtId="0" fontId="9" fillId="0" borderId="98" xfId="3411" applyBorder="1" applyAlignment="1">
      <alignment horizontal="left" vertical="center" wrapText="1" indent="1" shrinkToFit="1"/>
    </xf>
    <xf numFmtId="0" fontId="57" fillId="115" borderId="122" xfId="3411" applyFont="1" applyFill="1" applyBorder="1" applyAlignment="1">
      <alignment horizontal="justify" vertical="center" wrapText="1" shrinkToFit="1"/>
    </xf>
    <xf numFmtId="0" fontId="10" fillId="0" borderId="98" xfId="3411" applyFont="1" applyBorder="1" applyAlignment="1">
      <alignment horizontal="justify" vertical="center" wrapText="1" shrinkToFit="1"/>
    </xf>
    <xf numFmtId="0" fontId="10" fillId="0" borderId="124" xfId="3411" applyFont="1" applyBorder="1" applyAlignment="1">
      <alignment horizontal="justify" vertical="top" wrapText="1" shrinkToFit="1"/>
    </xf>
    <xf numFmtId="49" fontId="9" fillId="115" borderId="122" xfId="3411" applyNumberFormat="1" applyFill="1" applyBorder="1" applyAlignment="1">
      <alignment horizontal="center" vertical="center" wrapText="1" shrinkToFit="1"/>
    </xf>
    <xf numFmtId="168" fontId="37" fillId="115" borderId="122" xfId="6176" applyNumberFormat="1" applyFont="1" applyFill="1" applyBorder="1" applyAlignment="1">
      <alignment horizontal="center" shrinkToFit="1"/>
    </xf>
    <xf numFmtId="0" fontId="10" fillId="0" borderId="135" xfId="3411" applyFont="1" applyBorder="1" applyAlignment="1">
      <alignment wrapText="1"/>
    </xf>
    <xf numFmtId="49" fontId="9" fillId="0" borderId="122" xfId="3411" applyNumberFormat="1" applyBorder="1" applyAlignment="1">
      <alignment horizontal="center" vertical="center" wrapText="1" shrinkToFit="1"/>
    </xf>
    <xf numFmtId="168" fontId="46" fillId="37" borderId="122" xfId="6176" applyNumberFormat="1" applyFont="1" applyFill="1" applyBorder="1" applyAlignment="1">
      <alignment horizontal="right" vertical="center" shrinkToFit="1"/>
    </xf>
    <xf numFmtId="168" fontId="37" fillId="0" borderId="122" xfId="6176" applyNumberFormat="1" applyFont="1" applyBorder="1" applyAlignment="1">
      <alignment horizontal="right" vertical="center" shrinkToFit="1"/>
    </xf>
    <xf numFmtId="0" fontId="10" fillId="0" borderId="98" xfId="3411" applyFont="1" applyBorder="1" applyAlignment="1">
      <alignment wrapText="1"/>
    </xf>
    <xf numFmtId="0" fontId="10" fillId="0" borderId="135" xfId="0" applyFont="1" applyBorder="1" applyAlignment="1">
      <alignment horizontal="center" vertical="center"/>
    </xf>
    <xf numFmtId="0" fontId="10" fillId="0" borderId="136" xfId="0" applyFont="1" applyBorder="1" applyAlignment="1">
      <alignment horizontal="center" vertical="center"/>
    </xf>
    <xf numFmtId="0" fontId="10" fillId="0" borderId="138" xfId="0" applyFont="1" applyBorder="1" applyAlignment="1">
      <alignment horizontal="center" vertical="center"/>
    </xf>
    <xf numFmtId="0" fontId="0" fillId="0" borderId="135" xfId="0" applyBorder="1"/>
    <xf numFmtId="0" fontId="10" fillId="0" borderId="136" xfId="0" applyFont="1" applyBorder="1" applyAlignment="1">
      <alignment horizontal="center"/>
    </xf>
    <xf numFmtId="0" fontId="0" fillId="0" borderId="138" xfId="0" applyBorder="1" applyAlignment="1">
      <alignment horizontal="center"/>
    </xf>
    <xf numFmtId="14" fontId="10" fillId="0" borderId="135" xfId="0" applyNumberFormat="1" applyFont="1" applyBorder="1"/>
    <xf numFmtId="167" fontId="10" fillId="0" borderId="136" xfId="345" applyFont="1" applyBorder="1"/>
    <xf numFmtId="0" fontId="0" fillId="0" borderId="138" xfId="0" applyBorder="1"/>
    <xf numFmtId="167" fontId="10" fillId="0" borderId="122" xfId="345" applyFont="1" applyBorder="1"/>
    <xf numFmtId="0" fontId="10" fillId="0" borderId="136" xfId="0" applyFont="1" applyBorder="1"/>
    <xf numFmtId="0" fontId="9" fillId="0" borderId="122" xfId="0" applyFont="1" applyBorder="1"/>
    <xf numFmtId="167" fontId="9" fillId="0" borderId="122" xfId="0" applyNumberFormat="1" applyFont="1" applyBorder="1"/>
    <xf numFmtId="0" fontId="9" fillId="0" borderId="135" xfId="0" applyFont="1" applyBorder="1"/>
    <xf numFmtId="167" fontId="9" fillId="0" borderId="138" xfId="345" applyFont="1" applyBorder="1"/>
    <xf numFmtId="0" fontId="10" fillId="0" borderId="97" xfId="0" applyFont="1" applyBorder="1"/>
    <xf numFmtId="0" fontId="10" fillId="0" borderId="122" xfId="0" applyFont="1" applyBorder="1" applyAlignment="1">
      <alignment horizontal="center" vertical="center"/>
    </xf>
    <xf numFmtId="171" fontId="10" fillId="0" borderId="122" xfId="0" applyNumberFormat="1" applyFont="1" applyBorder="1" applyAlignment="1">
      <alignment horizontal="center" vertical="center"/>
    </xf>
    <xf numFmtId="0" fontId="10" fillId="0" borderId="111" xfId="0" applyFont="1" applyBorder="1" applyAlignment="1">
      <alignment horizontal="center" vertical="center"/>
    </xf>
    <xf numFmtId="171" fontId="10" fillId="0" borderId="124" xfId="0" applyNumberFormat="1" applyFont="1" applyBorder="1" applyAlignment="1">
      <alignment horizontal="center" vertical="center"/>
    </xf>
    <xf numFmtId="0" fontId="10" fillId="0" borderId="124" xfId="0" applyFont="1" applyBorder="1" applyAlignment="1">
      <alignment horizontal="center" vertical="center"/>
    </xf>
    <xf numFmtId="0" fontId="10" fillId="0" borderId="135" xfId="0" applyFont="1" applyBorder="1" applyAlignment="1">
      <alignment horizontal="center"/>
    </xf>
    <xf numFmtId="0" fontId="10" fillId="0" borderId="138" xfId="0" applyFont="1" applyBorder="1" applyAlignment="1">
      <alignment horizontal="center"/>
    </xf>
    <xf numFmtId="167" fontId="9" fillId="0" borderId="122" xfId="345" applyFont="1" applyFill="1" applyBorder="1"/>
    <xf numFmtId="171" fontId="10" fillId="0" borderId="138" xfId="0" applyNumberFormat="1" applyFont="1" applyBorder="1"/>
    <xf numFmtId="171" fontId="10" fillId="0" borderId="122" xfId="0" applyNumberFormat="1" applyFont="1" applyBorder="1"/>
    <xf numFmtId="183" fontId="9" fillId="0" borderId="138" xfId="345" applyNumberFormat="1" applyBorder="1"/>
    <xf numFmtId="167" fontId="10" fillId="0" borderId="122" xfId="345" applyFont="1" applyFill="1" applyBorder="1" applyAlignment="1">
      <alignment horizontal="center" vertical="center"/>
    </xf>
    <xf numFmtId="167" fontId="0" fillId="0" borderId="124" xfId="345" applyFont="1" applyFill="1" applyBorder="1"/>
    <xf numFmtId="0" fontId="9" fillId="0" borderId="135" xfId="0" applyFont="1" applyBorder="1" applyAlignment="1">
      <alignment horizontal="center"/>
    </xf>
    <xf numFmtId="0" fontId="0" fillId="0" borderId="138" xfId="0" applyBorder="1" applyAlignment="1">
      <alignment horizontal="center"/>
    </xf>
    <xf numFmtId="0" fontId="10" fillId="0" borderId="138" xfId="0" applyFont="1" applyBorder="1"/>
    <xf numFmtId="171" fontId="9" fillId="0" borderId="135" xfId="0" applyNumberFormat="1" applyFont="1" applyBorder="1"/>
    <xf numFmtId="167" fontId="9" fillId="0" borderId="138" xfId="345" applyBorder="1"/>
  </cellXfs>
  <cellStyles count="8969">
    <cellStyle name="-" xfId="5642" xr:uid="{00000000-0005-0000-0000-000000000000}"/>
    <cellStyle name="%" xfId="5643" xr:uid="{00000000-0005-0000-0000-000001000000}"/>
    <cellStyle name="_Data" xfId="5644" xr:uid="{00000000-0005-0000-0000-000002000000}"/>
    <cellStyle name="_Data 2" xfId="5987" xr:uid="{00000000-0005-0000-0000-000003000000}"/>
    <cellStyle name="_Data 2 2" xfId="8790" xr:uid="{E2A685B3-3BE5-4DC3-8363-417C6887D4DA}"/>
    <cellStyle name="_Data 3" xfId="8518" xr:uid="{7996218C-BC49-4E65-AC96-E35DFF161848}"/>
    <cellStyle name="_Header" xfId="5645" xr:uid="{00000000-0005-0000-0000-000004000000}"/>
    <cellStyle name="_TableRowHead" xfId="5646" xr:uid="{00000000-0005-0000-0000-000005000000}"/>
    <cellStyle name="=C:\WINNT35\SYSTEM32\COMMAND.COM" xfId="785" xr:uid="{00000000-0005-0000-0000-000006000000}"/>
    <cellStyle name="=C:\WINNT35\SYSTEM32\COMMAND.COM 10" xfId="786" xr:uid="{00000000-0005-0000-0000-000007000000}"/>
    <cellStyle name="=C:\WINNT35\SYSTEM32\COMMAND.COM 2" xfId="787" xr:uid="{00000000-0005-0000-0000-000008000000}"/>
    <cellStyle name="=C:\WINNT35\SYSTEM32\COMMAND.COM 2 2" xfId="788" xr:uid="{00000000-0005-0000-0000-000009000000}"/>
    <cellStyle name="=C:\WINNT35\SYSTEM32\COMMAND.COM 2 3" xfId="789" xr:uid="{00000000-0005-0000-0000-00000A000000}"/>
    <cellStyle name="=C:\WINNT35\SYSTEM32\COMMAND.COM 2_Suivi cpta investissements QIII 2009.06" xfId="790" xr:uid="{00000000-0005-0000-0000-00000B000000}"/>
    <cellStyle name="=C:\WINNT35\SYSTEM32\COMMAND.COM 3" xfId="791" xr:uid="{00000000-0005-0000-0000-00000C000000}"/>
    <cellStyle name="=C:\WINNT35\SYSTEM32\COMMAND.COM 3 2" xfId="792" xr:uid="{00000000-0005-0000-0000-00000D000000}"/>
    <cellStyle name="=C:\WINNT35\SYSTEM32\COMMAND.COM 3 2 2" xfId="793" xr:uid="{00000000-0005-0000-0000-00000E000000}"/>
    <cellStyle name="=C:\WINNT35\SYSTEM32\COMMAND.COM 4" xfId="794" xr:uid="{00000000-0005-0000-0000-00000F000000}"/>
    <cellStyle name="=C:\WINNT35\SYSTEM32\COMMAND.COM 4 2" xfId="795" xr:uid="{00000000-0005-0000-0000-000010000000}"/>
    <cellStyle name="=C:\WINNT35\SYSTEM32\COMMAND.COM 5" xfId="796" xr:uid="{00000000-0005-0000-0000-000011000000}"/>
    <cellStyle name="=C:\WINNT35\SYSTEM32\COMMAND.COM 5 2" xfId="797" xr:uid="{00000000-0005-0000-0000-000012000000}"/>
    <cellStyle name="=C:\WINNT35\SYSTEM32\COMMAND.COM 6" xfId="798" xr:uid="{00000000-0005-0000-0000-000013000000}"/>
    <cellStyle name="=C:\WINNT35\SYSTEM32\COMMAND.COM 6 2" xfId="799" xr:uid="{00000000-0005-0000-0000-000014000000}"/>
    <cellStyle name="=C:\WINNT35\SYSTEM32\COMMAND.COM 7" xfId="800" xr:uid="{00000000-0005-0000-0000-000015000000}"/>
    <cellStyle name="=C:\WINNT35\SYSTEM32\COMMAND.COM 8" xfId="801" xr:uid="{00000000-0005-0000-0000-000016000000}"/>
    <cellStyle name="=C:\WINNT35\SYSTEM32\COMMAND.COM 9" xfId="802" xr:uid="{00000000-0005-0000-0000-000017000000}"/>
    <cellStyle name="=C:\WINNT35\SYSTEM32\COMMAND.COM_Feuil1" xfId="803" xr:uid="{00000000-0005-0000-0000-000018000000}"/>
    <cellStyle name="1,comma" xfId="5647" xr:uid="{00000000-0005-0000-0000-000019000000}"/>
    <cellStyle name="1,comma 2" xfId="5648" xr:uid="{00000000-0005-0000-0000-00001A000000}"/>
    <cellStyle name="20 % - Accent1 2" xfId="1" xr:uid="{00000000-0005-0000-0000-00001B000000}"/>
    <cellStyle name="20 % - Accent1 2 2" xfId="804" xr:uid="{00000000-0005-0000-0000-00001C000000}"/>
    <cellStyle name="20 % - Accent1 2 2 2" xfId="2955" xr:uid="{00000000-0005-0000-0000-00001D000000}"/>
    <cellStyle name="20 % - Accent1 2 2 3" xfId="3618" xr:uid="{00000000-0005-0000-0000-00001E000000}"/>
    <cellStyle name="20 % - Accent1 2 2 3 2" xfId="4082" xr:uid="{00000000-0005-0000-0000-00001F000000}"/>
    <cellStyle name="20 % - Accent1 2 3" xfId="805" xr:uid="{00000000-0005-0000-0000-000020000000}"/>
    <cellStyle name="20 % - Accent1 2 3 2" xfId="2956" xr:uid="{00000000-0005-0000-0000-000021000000}"/>
    <cellStyle name="20 % - Accent1 2 4" xfId="806" xr:uid="{00000000-0005-0000-0000-000022000000}"/>
    <cellStyle name="20 % - Accent1 2 5" xfId="807" xr:uid="{00000000-0005-0000-0000-000023000000}"/>
    <cellStyle name="20 % - Accent1 2 6" xfId="808" xr:uid="{00000000-0005-0000-0000-000024000000}"/>
    <cellStyle name="20 % - Accent1 2 7" xfId="809" xr:uid="{00000000-0005-0000-0000-000025000000}"/>
    <cellStyle name="20 % - Accent1 2 7 2" xfId="810" xr:uid="{00000000-0005-0000-0000-000026000000}"/>
    <cellStyle name="20 % - Accent1 2 8" xfId="811" xr:uid="{00000000-0005-0000-0000-000027000000}"/>
    <cellStyle name="20 % - Accent1 2 8 2" xfId="2214" xr:uid="{00000000-0005-0000-0000-000028000000}"/>
    <cellStyle name="20 % - Accent1 2 9" xfId="812" xr:uid="{00000000-0005-0000-0000-000029000000}"/>
    <cellStyle name="20 % - Accent1 3" xfId="2" xr:uid="{00000000-0005-0000-0000-00002A000000}"/>
    <cellStyle name="20 % - Accent1 3 2" xfId="813" xr:uid="{00000000-0005-0000-0000-00002B000000}"/>
    <cellStyle name="20 % - Accent1 3 2 2" xfId="814" xr:uid="{00000000-0005-0000-0000-00002C000000}"/>
    <cellStyle name="20 % - Accent1 3 2 3" xfId="3910" xr:uid="{00000000-0005-0000-0000-00002D000000}"/>
    <cellStyle name="20 % - Accent1 3 3" xfId="815" xr:uid="{00000000-0005-0000-0000-00002E000000}"/>
    <cellStyle name="20 % - Accent1 3 3 2" xfId="816" xr:uid="{00000000-0005-0000-0000-00002F000000}"/>
    <cellStyle name="20 % - Accent1 3 3 3" xfId="3851" xr:uid="{00000000-0005-0000-0000-000030000000}"/>
    <cellStyle name="20 % - Accent1 3 4" xfId="817" xr:uid="{00000000-0005-0000-0000-000031000000}"/>
    <cellStyle name="20 % - Accent1 3 4 2" xfId="2052" xr:uid="{00000000-0005-0000-0000-000032000000}"/>
    <cellStyle name="20 % - Accent1 3 5" xfId="818" xr:uid="{00000000-0005-0000-0000-000033000000}"/>
    <cellStyle name="20 % - Accent1 4" xfId="819" xr:uid="{00000000-0005-0000-0000-000034000000}"/>
    <cellStyle name="20 % - Accent1 4 2" xfId="820" xr:uid="{00000000-0005-0000-0000-000035000000}"/>
    <cellStyle name="20 % - Accent1 4 3" xfId="2005" xr:uid="{00000000-0005-0000-0000-000036000000}"/>
    <cellStyle name="20 % - Accent1 5" xfId="821" xr:uid="{00000000-0005-0000-0000-000037000000}"/>
    <cellStyle name="20 % - Accent1 5 2" xfId="822" xr:uid="{00000000-0005-0000-0000-000038000000}"/>
    <cellStyle name="20 % - Accent1 5 3" xfId="3416" xr:uid="{00000000-0005-0000-0000-000039000000}"/>
    <cellStyle name="20 % - Accent1 6" xfId="823" xr:uid="{00000000-0005-0000-0000-00003A000000}"/>
    <cellStyle name="20 % - Accent1 6 2" xfId="6424" xr:uid="{A987FFCC-A360-499C-A816-7153C1B30917}"/>
    <cellStyle name="20 % - Accent1 7" xfId="2799" xr:uid="{00000000-0005-0000-0000-00003B000000}"/>
    <cellStyle name="20 % - Accent2 2" xfId="3" xr:uid="{00000000-0005-0000-0000-00003C000000}"/>
    <cellStyle name="20 % - Accent2 2 2" xfId="824" xr:uid="{00000000-0005-0000-0000-00003D000000}"/>
    <cellStyle name="20 % - Accent2 2 2 2" xfId="2957" xr:uid="{00000000-0005-0000-0000-00003E000000}"/>
    <cellStyle name="20 % - Accent2 2 2 3" xfId="2775" xr:uid="{00000000-0005-0000-0000-00003F000000}"/>
    <cellStyle name="20 % - Accent2 2 2 3 2" xfId="4081" xr:uid="{00000000-0005-0000-0000-000040000000}"/>
    <cellStyle name="20 % - Accent2 2 3" xfId="825" xr:uid="{00000000-0005-0000-0000-000041000000}"/>
    <cellStyle name="20 % - Accent2 2 3 2" xfId="2958" xr:uid="{00000000-0005-0000-0000-000042000000}"/>
    <cellStyle name="20 % - Accent2 2 4" xfId="826" xr:uid="{00000000-0005-0000-0000-000043000000}"/>
    <cellStyle name="20 % - Accent2 2 5" xfId="827" xr:uid="{00000000-0005-0000-0000-000044000000}"/>
    <cellStyle name="20 % - Accent2 2 6" xfId="828" xr:uid="{00000000-0005-0000-0000-000045000000}"/>
    <cellStyle name="20 % - Accent2 2 7" xfId="829" xr:uid="{00000000-0005-0000-0000-000046000000}"/>
    <cellStyle name="20 % - Accent2 2 7 2" xfId="830" xr:uid="{00000000-0005-0000-0000-000047000000}"/>
    <cellStyle name="20 % - Accent2 2 8" xfId="831" xr:uid="{00000000-0005-0000-0000-000048000000}"/>
    <cellStyle name="20 % - Accent2 2 8 2" xfId="2208" xr:uid="{00000000-0005-0000-0000-000049000000}"/>
    <cellStyle name="20 % - Accent2 2 9" xfId="832" xr:uid="{00000000-0005-0000-0000-00004A000000}"/>
    <cellStyle name="20 % - Accent2 3" xfId="4" xr:uid="{00000000-0005-0000-0000-00004B000000}"/>
    <cellStyle name="20 % - Accent2 3 2" xfId="833" xr:uid="{00000000-0005-0000-0000-00004C000000}"/>
    <cellStyle name="20 % - Accent2 3 2 2" xfId="834" xr:uid="{00000000-0005-0000-0000-00004D000000}"/>
    <cellStyle name="20 % - Accent2 3 2 3" xfId="3911" xr:uid="{00000000-0005-0000-0000-00004E000000}"/>
    <cellStyle name="20 % - Accent2 3 3" xfId="835" xr:uid="{00000000-0005-0000-0000-00004F000000}"/>
    <cellStyle name="20 % - Accent2 3 3 2" xfId="836" xr:uid="{00000000-0005-0000-0000-000050000000}"/>
    <cellStyle name="20 % - Accent2 3 3 3" xfId="3852" xr:uid="{00000000-0005-0000-0000-000051000000}"/>
    <cellStyle name="20 % - Accent2 3 4" xfId="837" xr:uid="{00000000-0005-0000-0000-000052000000}"/>
    <cellStyle name="20 % - Accent2 3 4 2" xfId="2134" xr:uid="{00000000-0005-0000-0000-000053000000}"/>
    <cellStyle name="20 % - Accent2 3 5" xfId="838" xr:uid="{00000000-0005-0000-0000-000054000000}"/>
    <cellStyle name="20 % - Accent2 4" xfId="839" xr:uid="{00000000-0005-0000-0000-000055000000}"/>
    <cellStyle name="20 % - Accent2 4 2" xfId="840" xr:uid="{00000000-0005-0000-0000-000056000000}"/>
    <cellStyle name="20 % - Accent2 4 3" xfId="2003" xr:uid="{00000000-0005-0000-0000-000057000000}"/>
    <cellStyle name="20 % - Accent2 5" xfId="841" xr:uid="{00000000-0005-0000-0000-000058000000}"/>
    <cellStyle name="20 % - Accent2 5 2" xfId="842" xr:uid="{00000000-0005-0000-0000-000059000000}"/>
    <cellStyle name="20 % - Accent2 5 3" xfId="2786" xr:uid="{00000000-0005-0000-0000-00005A000000}"/>
    <cellStyle name="20 % - Accent2 6" xfId="843" xr:uid="{00000000-0005-0000-0000-00005B000000}"/>
    <cellStyle name="20 % - Accent2 6 2" xfId="6425" xr:uid="{D14A8DF4-1F99-4C54-8C45-D7042FF8E3E3}"/>
    <cellStyle name="20 % - Accent2 7" xfId="2800" xr:uid="{00000000-0005-0000-0000-00005C000000}"/>
    <cellStyle name="20 % - Accent3 2" xfId="5" xr:uid="{00000000-0005-0000-0000-00005D000000}"/>
    <cellStyle name="20 % - Accent3 2 2" xfId="844" xr:uid="{00000000-0005-0000-0000-00005E000000}"/>
    <cellStyle name="20 % - Accent3 2 2 2" xfId="2959" xr:uid="{00000000-0005-0000-0000-00005F000000}"/>
    <cellStyle name="20 % - Accent3 2 2 3" xfId="3617" xr:uid="{00000000-0005-0000-0000-000060000000}"/>
    <cellStyle name="20 % - Accent3 2 2 3 2" xfId="2313" xr:uid="{00000000-0005-0000-0000-000061000000}"/>
    <cellStyle name="20 % - Accent3 2 3" xfId="845" xr:uid="{00000000-0005-0000-0000-000062000000}"/>
    <cellStyle name="20 % - Accent3 2 3 2" xfId="2960" xr:uid="{00000000-0005-0000-0000-000063000000}"/>
    <cellStyle name="20 % - Accent3 2 4" xfId="846" xr:uid="{00000000-0005-0000-0000-000064000000}"/>
    <cellStyle name="20 % - Accent3 2 5" xfId="847" xr:uid="{00000000-0005-0000-0000-000065000000}"/>
    <cellStyle name="20 % - Accent3 2 6" xfId="848" xr:uid="{00000000-0005-0000-0000-000066000000}"/>
    <cellStyle name="20 % - Accent3 2 7" xfId="849" xr:uid="{00000000-0005-0000-0000-000067000000}"/>
    <cellStyle name="20 % - Accent3 2 7 2" xfId="850" xr:uid="{00000000-0005-0000-0000-000068000000}"/>
    <cellStyle name="20 % - Accent3 2 8" xfId="851" xr:uid="{00000000-0005-0000-0000-000069000000}"/>
    <cellStyle name="20 % - Accent3 2 8 2" xfId="2202" xr:uid="{00000000-0005-0000-0000-00006A000000}"/>
    <cellStyle name="20 % - Accent3 2 9" xfId="852" xr:uid="{00000000-0005-0000-0000-00006B000000}"/>
    <cellStyle name="20 % - Accent3 3" xfId="6" xr:uid="{00000000-0005-0000-0000-00006C000000}"/>
    <cellStyle name="20 % - Accent3 3 2" xfId="853" xr:uid="{00000000-0005-0000-0000-00006D000000}"/>
    <cellStyle name="20 % - Accent3 3 2 2" xfId="854" xr:uid="{00000000-0005-0000-0000-00006E000000}"/>
    <cellStyle name="20 % - Accent3 3 2 3" xfId="3912" xr:uid="{00000000-0005-0000-0000-00006F000000}"/>
    <cellStyle name="20 % - Accent3 3 3" xfId="855" xr:uid="{00000000-0005-0000-0000-000070000000}"/>
    <cellStyle name="20 % - Accent3 3 3 2" xfId="856" xr:uid="{00000000-0005-0000-0000-000071000000}"/>
    <cellStyle name="20 % - Accent3 3 3 3" xfId="3853" xr:uid="{00000000-0005-0000-0000-000072000000}"/>
    <cellStyle name="20 % - Accent3 3 4" xfId="857" xr:uid="{00000000-0005-0000-0000-000073000000}"/>
    <cellStyle name="20 % - Accent3 3 4 2" xfId="2144" xr:uid="{00000000-0005-0000-0000-000074000000}"/>
    <cellStyle name="20 % - Accent3 3 5" xfId="858" xr:uid="{00000000-0005-0000-0000-000075000000}"/>
    <cellStyle name="20 % - Accent3 4" xfId="859" xr:uid="{00000000-0005-0000-0000-000076000000}"/>
    <cellStyle name="20 % - Accent3 4 2" xfId="860" xr:uid="{00000000-0005-0000-0000-000077000000}"/>
    <cellStyle name="20 % - Accent3 4 3" xfId="2004" xr:uid="{00000000-0005-0000-0000-000078000000}"/>
    <cellStyle name="20 % - Accent3 5" xfId="861" xr:uid="{00000000-0005-0000-0000-000079000000}"/>
    <cellStyle name="20 % - Accent3 5 2" xfId="862" xr:uid="{00000000-0005-0000-0000-00007A000000}"/>
    <cellStyle name="20 % - Accent3 5 3" xfId="3417" xr:uid="{00000000-0005-0000-0000-00007B000000}"/>
    <cellStyle name="20 % - Accent3 6" xfId="863" xr:uid="{00000000-0005-0000-0000-00007C000000}"/>
    <cellStyle name="20 % - Accent3 6 2" xfId="6426" xr:uid="{FBAF34D9-3585-4D81-9EA0-E0B20CA7876D}"/>
    <cellStyle name="20 % - Accent3 7" xfId="2801" xr:uid="{00000000-0005-0000-0000-00007D000000}"/>
    <cellStyle name="20 % - Accent4 2" xfId="7" xr:uid="{00000000-0005-0000-0000-00007E000000}"/>
    <cellStyle name="20 % - Accent4 2 2" xfId="864" xr:uid="{00000000-0005-0000-0000-00007F000000}"/>
    <cellStyle name="20 % - Accent4 2 2 2" xfId="2962" xr:uid="{00000000-0005-0000-0000-000080000000}"/>
    <cellStyle name="20 % - Accent4 2 2 3" xfId="3616" xr:uid="{00000000-0005-0000-0000-000081000000}"/>
    <cellStyle name="20 % - Accent4 2 2 3 2" xfId="3607" xr:uid="{00000000-0005-0000-0000-000082000000}"/>
    <cellStyle name="20 % - Accent4 2 3" xfId="865" xr:uid="{00000000-0005-0000-0000-000083000000}"/>
    <cellStyle name="20 % - Accent4 2 3 2" xfId="2963" xr:uid="{00000000-0005-0000-0000-000084000000}"/>
    <cellStyle name="20 % - Accent4 2 4" xfId="866" xr:uid="{00000000-0005-0000-0000-000085000000}"/>
    <cellStyle name="20 % - Accent4 2 5" xfId="867" xr:uid="{00000000-0005-0000-0000-000086000000}"/>
    <cellStyle name="20 % - Accent4 2 6" xfId="868" xr:uid="{00000000-0005-0000-0000-000087000000}"/>
    <cellStyle name="20 % - Accent4 2 7" xfId="869" xr:uid="{00000000-0005-0000-0000-000088000000}"/>
    <cellStyle name="20 % - Accent4 2 7 2" xfId="870" xr:uid="{00000000-0005-0000-0000-000089000000}"/>
    <cellStyle name="20 % - Accent4 2 8" xfId="871" xr:uid="{00000000-0005-0000-0000-00008A000000}"/>
    <cellStyle name="20 % - Accent4 2 8 2" xfId="2263" xr:uid="{00000000-0005-0000-0000-00008B000000}"/>
    <cellStyle name="20 % - Accent4 2 9" xfId="872" xr:uid="{00000000-0005-0000-0000-00008C000000}"/>
    <cellStyle name="20 % - Accent4 3" xfId="8" xr:uid="{00000000-0005-0000-0000-00008D000000}"/>
    <cellStyle name="20 % - Accent4 3 2" xfId="873" xr:uid="{00000000-0005-0000-0000-00008E000000}"/>
    <cellStyle name="20 % - Accent4 3 2 2" xfId="874" xr:uid="{00000000-0005-0000-0000-00008F000000}"/>
    <cellStyle name="20 % - Accent4 3 2 3" xfId="3913" xr:uid="{00000000-0005-0000-0000-000090000000}"/>
    <cellStyle name="20 % - Accent4 3 3" xfId="875" xr:uid="{00000000-0005-0000-0000-000091000000}"/>
    <cellStyle name="20 % - Accent4 3 3 2" xfId="876" xr:uid="{00000000-0005-0000-0000-000092000000}"/>
    <cellStyle name="20 % - Accent4 3 3 3" xfId="3854" xr:uid="{00000000-0005-0000-0000-000093000000}"/>
    <cellStyle name="20 % - Accent4 3 4" xfId="877" xr:uid="{00000000-0005-0000-0000-000094000000}"/>
    <cellStyle name="20 % - Accent4 3 4 2" xfId="2261" xr:uid="{00000000-0005-0000-0000-000095000000}"/>
    <cellStyle name="20 % - Accent4 3 5" xfId="878" xr:uid="{00000000-0005-0000-0000-000096000000}"/>
    <cellStyle name="20 % - Accent4 4" xfId="879" xr:uid="{00000000-0005-0000-0000-000097000000}"/>
    <cellStyle name="20 % - Accent4 4 2" xfId="880" xr:uid="{00000000-0005-0000-0000-000098000000}"/>
    <cellStyle name="20 % - Accent4 4 3" xfId="2006" xr:uid="{00000000-0005-0000-0000-000099000000}"/>
    <cellStyle name="20 % - Accent4 5" xfId="881" xr:uid="{00000000-0005-0000-0000-00009A000000}"/>
    <cellStyle name="20 % - Accent4 5 2" xfId="882" xr:uid="{00000000-0005-0000-0000-00009B000000}"/>
    <cellStyle name="20 % - Accent4 5 3" xfId="2787" xr:uid="{00000000-0005-0000-0000-00009C000000}"/>
    <cellStyle name="20 % - Accent4 6" xfId="883" xr:uid="{00000000-0005-0000-0000-00009D000000}"/>
    <cellStyle name="20 % - Accent4 6 2" xfId="6427" xr:uid="{7A158F80-8207-4440-A65E-5DAE282ACFB4}"/>
    <cellStyle name="20 % - Accent4 7" xfId="2802" xr:uid="{00000000-0005-0000-0000-00009E000000}"/>
    <cellStyle name="20 % - Accent5" xfId="582" builtinId="46" customBuiltin="1"/>
    <cellStyle name="20 % - Accent5 2" xfId="9" xr:uid="{00000000-0005-0000-0000-0000A0000000}"/>
    <cellStyle name="20 % - Accent5 2 2" xfId="884" xr:uid="{00000000-0005-0000-0000-0000A1000000}"/>
    <cellStyle name="20 % - Accent5 2 2 2" xfId="2965" xr:uid="{00000000-0005-0000-0000-0000A2000000}"/>
    <cellStyle name="20 % - Accent5 2 2 3" xfId="2623" xr:uid="{00000000-0005-0000-0000-0000A3000000}"/>
    <cellStyle name="20 % - Accent5 2 2 3 2" xfId="2628" xr:uid="{00000000-0005-0000-0000-0000A4000000}"/>
    <cellStyle name="20 % - Accent5 2 3" xfId="885" xr:uid="{00000000-0005-0000-0000-0000A5000000}"/>
    <cellStyle name="20 % - Accent5 2 3 2" xfId="2966" xr:uid="{00000000-0005-0000-0000-0000A6000000}"/>
    <cellStyle name="20 % - Accent5 2 4" xfId="886" xr:uid="{00000000-0005-0000-0000-0000A7000000}"/>
    <cellStyle name="20 % - Accent5 2 5" xfId="887" xr:uid="{00000000-0005-0000-0000-0000A8000000}"/>
    <cellStyle name="20 % - Accent5 2 6" xfId="888" xr:uid="{00000000-0005-0000-0000-0000A9000000}"/>
    <cellStyle name="20 % - Accent5 2 7" xfId="889" xr:uid="{00000000-0005-0000-0000-0000AA000000}"/>
    <cellStyle name="20 % - Accent5 2 7 2" xfId="890" xr:uid="{00000000-0005-0000-0000-0000AB000000}"/>
    <cellStyle name="20 % - Accent5 2 8" xfId="891" xr:uid="{00000000-0005-0000-0000-0000AC000000}"/>
    <cellStyle name="20 % - Accent5 2 8 2" xfId="2200" xr:uid="{00000000-0005-0000-0000-0000AD000000}"/>
    <cellStyle name="20 % - Accent5 2 9" xfId="892" xr:uid="{00000000-0005-0000-0000-0000AE000000}"/>
    <cellStyle name="20 % - Accent5 3" xfId="10" xr:uid="{00000000-0005-0000-0000-0000AF000000}"/>
    <cellStyle name="20 % - Accent5 3 2" xfId="893" xr:uid="{00000000-0005-0000-0000-0000B0000000}"/>
    <cellStyle name="20 % - Accent5 3 2 2" xfId="894" xr:uid="{00000000-0005-0000-0000-0000B1000000}"/>
    <cellStyle name="20 % - Accent5 3 2 3" xfId="3914" xr:uid="{00000000-0005-0000-0000-0000B2000000}"/>
    <cellStyle name="20 % - Accent5 3 3" xfId="895" xr:uid="{00000000-0005-0000-0000-0000B3000000}"/>
    <cellStyle name="20 % - Accent5 3 3 2" xfId="896" xr:uid="{00000000-0005-0000-0000-0000B4000000}"/>
    <cellStyle name="20 % - Accent5 3 3 3" xfId="3855" xr:uid="{00000000-0005-0000-0000-0000B5000000}"/>
    <cellStyle name="20 % - Accent5 3 4" xfId="897" xr:uid="{00000000-0005-0000-0000-0000B6000000}"/>
    <cellStyle name="20 % - Accent5 3 4 2" xfId="2238" xr:uid="{00000000-0005-0000-0000-0000B7000000}"/>
    <cellStyle name="20 % - Accent5 3 5" xfId="898" xr:uid="{00000000-0005-0000-0000-0000B8000000}"/>
    <cellStyle name="20 % - Accent5 4" xfId="899" xr:uid="{00000000-0005-0000-0000-0000B9000000}"/>
    <cellStyle name="20 % - Accent5 4 2" xfId="900" xr:uid="{00000000-0005-0000-0000-0000BA000000}"/>
    <cellStyle name="20 % - Accent5 4 3" xfId="2007" xr:uid="{00000000-0005-0000-0000-0000BB000000}"/>
    <cellStyle name="20 % - Accent5 5" xfId="901" xr:uid="{00000000-0005-0000-0000-0000BC000000}"/>
    <cellStyle name="20 % - Accent5 5 2" xfId="902" xr:uid="{00000000-0005-0000-0000-0000BD000000}"/>
    <cellStyle name="20 % - Accent5 5 3" xfId="2614" xr:uid="{00000000-0005-0000-0000-0000BE000000}"/>
    <cellStyle name="20 % - Accent5 6" xfId="2803" xr:uid="{00000000-0005-0000-0000-0000BF000000}"/>
    <cellStyle name="20 % - Accent5 6 2" xfId="5439" xr:uid="{00000000-0005-0000-0000-0000C0000000}"/>
    <cellStyle name="20 % - Accent5 6 2 2" xfId="8352" xr:uid="{B99ABA12-E3C7-41B5-A6A7-D6F72B00B168}"/>
    <cellStyle name="20 % - Accent5 7" xfId="6299" xr:uid="{61ED7C6B-CE07-4B37-BE95-7796BF1CEB32}"/>
    <cellStyle name="20 % - Accent6" xfId="585" builtinId="50" customBuiltin="1"/>
    <cellStyle name="20 % - Accent6 2" xfId="11" xr:uid="{00000000-0005-0000-0000-0000C2000000}"/>
    <cellStyle name="20 % - Accent6 2 2" xfId="903" xr:uid="{00000000-0005-0000-0000-0000C3000000}"/>
    <cellStyle name="20 % - Accent6 2 2 2" xfId="2967" xr:uid="{00000000-0005-0000-0000-0000C4000000}"/>
    <cellStyle name="20 % - Accent6 2 2 3" xfId="3609" xr:uid="{00000000-0005-0000-0000-0000C5000000}"/>
    <cellStyle name="20 % - Accent6 2 2 3 2" xfId="2216" xr:uid="{00000000-0005-0000-0000-0000C6000000}"/>
    <cellStyle name="20 % - Accent6 2 3" xfId="904" xr:uid="{00000000-0005-0000-0000-0000C7000000}"/>
    <cellStyle name="20 % - Accent6 2 3 2" xfId="2968" xr:uid="{00000000-0005-0000-0000-0000C8000000}"/>
    <cellStyle name="20 % - Accent6 2 4" xfId="905" xr:uid="{00000000-0005-0000-0000-0000C9000000}"/>
    <cellStyle name="20 % - Accent6 2 5" xfId="906" xr:uid="{00000000-0005-0000-0000-0000CA000000}"/>
    <cellStyle name="20 % - Accent6 2 6" xfId="907" xr:uid="{00000000-0005-0000-0000-0000CB000000}"/>
    <cellStyle name="20 % - Accent6 2 7" xfId="908" xr:uid="{00000000-0005-0000-0000-0000CC000000}"/>
    <cellStyle name="20 % - Accent6 2 7 2" xfId="909" xr:uid="{00000000-0005-0000-0000-0000CD000000}"/>
    <cellStyle name="20 % - Accent6 2 8" xfId="910" xr:uid="{00000000-0005-0000-0000-0000CE000000}"/>
    <cellStyle name="20 % - Accent6 2 8 2" xfId="2257" xr:uid="{00000000-0005-0000-0000-0000CF000000}"/>
    <cellStyle name="20 % - Accent6 2 9" xfId="911" xr:uid="{00000000-0005-0000-0000-0000D0000000}"/>
    <cellStyle name="20 % - Accent6 3" xfId="12" xr:uid="{00000000-0005-0000-0000-0000D1000000}"/>
    <cellStyle name="20 % - Accent6 3 2" xfId="912" xr:uid="{00000000-0005-0000-0000-0000D2000000}"/>
    <cellStyle name="20 % - Accent6 3 2 2" xfId="913" xr:uid="{00000000-0005-0000-0000-0000D3000000}"/>
    <cellStyle name="20 % - Accent6 3 2 3" xfId="3915" xr:uid="{00000000-0005-0000-0000-0000D4000000}"/>
    <cellStyle name="20 % - Accent6 3 3" xfId="914" xr:uid="{00000000-0005-0000-0000-0000D5000000}"/>
    <cellStyle name="20 % - Accent6 3 3 2" xfId="915" xr:uid="{00000000-0005-0000-0000-0000D6000000}"/>
    <cellStyle name="20 % - Accent6 3 3 3" xfId="3856" xr:uid="{00000000-0005-0000-0000-0000D7000000}"/>
    <cellStyle name="20 % - Accent6 3 4" xfId="916" xr:uid="{00000000-0005-0000-0000-0000D8000000}"/>
    <cellStyle name="20 % - Accent6 3 4 2" xfId="2147" xr:uid="{00000000-0005-0000-0000-0000D9000000}"/>
    <cellStyle name="20 % - Accent6 3 5" xfId="917" xr:uid="{00000000-0005-0000-0000-0000DA000000}"/>
    <cellStyle name="20 % - Accent6 4" xfId="918" xr:uid="{00000000-0005-0000-0000-0000DB000000}"/>
    <cellStyle name="20 % - Accent6 4 2" xfId="919" xr:uid="{00000000-0005-0000-0000-0000DC000000}"/>
    <cellStyle name="20 % - Accent6 4 3" xfId="2008" xr:uid="{00000000-0005-0000-0000-0000DD000000}"/>
    <cellStyle name="20 % - Accent6 5" xfId="920" xr:uid="{00000000-0005-0000-0000-0000DE000000}"/>
    <cellStyle name="20 % - Accent6 5 2" xfId="921" xr:uid="{00000000-0005-0000-0000-0000DF000000}"/>
    <cellStyle name="20 % - Accent6 5 3" xfId="2613" xr:uid="{00000000-0005-0000-0000-0000E0000000}"/>
    <cellStyle name="20 % - Accent6 6" xfId="2804" xr:uid="{00000000-0005-0000-0000-0000E1000000}"/>
    <cellStyle name="20 % - Accent6 6 2" xfId="5442" xr:uid="{00000000-0005-0000-0000-0000E2000000}"/>
    <cellStyle name="20 % - Accent6 6 2 2" xfId="8354" xr:uid="{3AAB7E6F-3DF1-4BFE-B7A4-AF5388F72F0F}"/>
    <cellStyle name="20 % - Accent6 7" xfId="6301" xr:uid="{01B26079-9F80-416A-A4DB-A44CDCEC9455}"/>
    <cellStyle name="40 % - Accent1" xfId="577" builtinId="31" customBuiltin="1"/>
    <cellStyle name="40 % - Accent1 2" xfId="13" xr:uid="{00000000-0005-0000-0000-0000E4000000}"/>
    <cellStyle name="40 % - Accent1 2 2" xfId="922" xr:uid="{00000000-0005-0000-0000-0000E5000000}"/>
    <cellStyle name="40 % - Accent1 2 2 2" xfId="2969" xr:uid="{00000000-0005-0000-0000-0000E6000000}"/>
    <cellStyle name="40 % - Accent1 2 3" xfId="923" xr:uid="{00000000-0005-0000-0000-0000E7000000}"/>
    <cellStyle name="40 % - Accent1 2 4" xfId="924" xr:uid="{00000000-0005-0000-0000-0000E8000000}"/>
    <cellStyle name="40 % - Accent1 2 5" xfId="925" xr:uid="{00000000-0005-0000-0000-0000E9000000}"/>
    <cellStyle name="40 % - Accent1 2 6" xfId="926" xr:uid="{00000000-0005-0000-0000-0000EA000000}"/>
    <cellStyle name="40 % - Accent1 2 7" xfId="927" xr:uid="{00000000-0005-0000-0000-0000EB000000}"/>
    <cellStyle name="40 % - Accent1 2 7 2" xfId="928" xr:uid="{00000000-0005-0000-0000-0000EC000000}"/>
    <cellStyle name="40 % - Accent1 3" xfId="14" xr:uid="{00000000-0005-0000-0000-0000ED000000}"/>
    <cellStyle name="40 % - Accent1 3 2" xfId="929" xr:uid="{00000000-0005-0000-0000-0000EE000000}"/>
    <cellStyle name="40 % - Accent1 3 2 2" xfId="930" xr:uid="{00000000-0005-0000-0000-0000EF000000}"/>
    <cellStyle name="40 % - Accent1 3 3" xfId="931" xr:uid="{00000000-0005-0000-0000-0000F0000000}"/>
    <cellStyle name="40 % - Accent1 3 3 2" xfId="932" xr:uid="{00000000-0005-0000-0000-0000F1000000}"/>
    <cellStyle name="40 % - Accent1 3 3 3" xfId="3857" xr:uid="{00000000-0005-0000-0000-0000F2000000}"/>
    <cellStyle name="40 % - Accent1 3 4" xfId="933" xr:uid="{00000000-0005-0000-0000-0000F3000000}"/>
    <cellStyle name="40 % - Accent1 4" xfId="934" xr:uid="{00000000-0005-0000-0000-0000F4000000}"/>
    <cellStyle name="40 % - Accent1 4 2" xfId="935" xr:uid="{00000000-0005-0000-0000-0000F5000000}"/>
    <cellStyle name="40 % - Accent1 5" xfId="936" xr:uid="{00000000-0005-0000-0000-0000F6000000}"/>
    <cellStyle name="40 % - Accent1 5 2" xfId="937" xr:uid="{00000000-0005-0000-0000-0000F7000000}"/>
    <cellStyle name="40 % - Accent1 5 3" xfId="2612" xr:uid="{00000000-0005-0000-0000-0000F8000000}"/>
    <cellStyle name="40 % - Accent1 6" xfId="2805" xr:uid="{00000000-0005-0000-0000-0000F9000000}"/>
    <cellStyle name="40 % - Accent1 6 2" xfId="5434" xr:uid="{00000000-0005-0000-0000-0000FA000000}"/>
    <cellStyle name="40 % - Accent1 6 2 2" xfId="8349" xr:uid="{D12762CA-6FBE-4B16-9875-4E3451EB4F09}"/>
    <cellStyle name="40 % - Accent1 7" xfId="6296" xr:uid="{28D244CE-446E-43CE-84E0-6BF6FD32F12F}"/>
    <cellStyle name="40 % - Accent2" xfId="579" builtinId="35" customBuiltin="1"/>
    <cellStyle name="40 % - Accent2 2" xfId="15" xr:uid="{00000000-0005-0000-0000-0000FC000000}"/>
    <cellStyle name="40 % - Accent2 2 2" xfId="938" xr:uid="{00000000-0005-0000-0000-0000FD000000}"/>
    <cellStyle name="40 % - Accent2 2 2 2" xfId="2970" xr:uid="{00000000-0005-0000-0000-0000FE000000}"/>
    <cellStyle name="40 % - Accent2 2 2 3" xfId="2624" xr:uid="{00000000-0005-0000-0000-0000FF000000}"/>
    <cellStyle name="40 % - Accent2 2 2 3 2" xfId="4152" xr:uid="{00000000-0005-0000-0000-000000010000}"/>
    <cellStyle name="40 % - Accent2 2 3" xfId="939" xr:uid="{00000000-0005-0000-0000-000001010000}"/>
    <cellStyle name="40 % - Accent2 2 3 2" xfId="2971" xr:uid="{00000000-0005-0000-0000-000002010000}"/>
    <cellStyle name="40 % - Accent2 2 4" xfId="940" xr:uid="{00000000-0005-0000-0000-000003010000}"/>
    <cellStyle name="40 % - Accent2 2 5" xfId="941" xr:uid="{00000000-0005-0000-0000-000004010000}"/>
    <cellStyle name="40 % - Accent2 2 6" xfId="942" xr:uid="{00000000-0005-0000-0000-000005010000}"/>
    <cellStyle name="40 % - Accent2 2 7" xfId="943" xr:uid="{00000000-0005-0000-0000-000006010000}"/>
    <cellStyle name="40 % - Accent2 2 7 2" xfId="944" xr:uid="{00000000-0005-0000-0000-000007010000}"/>
    <cellStyle name="40 % - Accent2 2 8" xfId="945" xr:uid="{00000000-0005-0000-0000-000008010000}"/>
    <cellStyle name="40 % - Accent2 2 8 2" xfId="2224" xr:uid="{00000000-0005-0000-0000-000009010000}"/>
    <cellStyle name="40 % - Accent2 2 9" xfId="946" xr:uid="{00000000-0005-0000-0000-00000A010000}"/>
    <cellStyle name="40 % - Accent2 3" xfId="16" xr:uid="{00000000-0005-0000-0000-00000B010000}"/>
    <cellStyle name="40 % - Accent2 3 2" xfId="947" xr:uid="{00000000-0005-0000-0000-00000C010000}"/>
    <cellStyle name="40 % - Accent2 3 2 2" xfId="948" xr:uid="{00000000-0005-0000-0000-00000D010000}"/>
    <cellStyle name="40 % - Accent2 3 2 3" xfId="3916" xr:uid="{00000000-0005-0000-0000-00000E010000}"/>
    <cellStyle name="40 % - Accent2 3 3" xfId="949" xr:uid="{00000000-0005-0000-0000-00000F010000}"/>
    <cellStyle name="40 % - Accent2 3 3 2" xfId="950" xr:uid="{00000000-0005-0000-0000-000010010000}"/>
    <cellStyle name="40 % - Accent2 3 3 3" xfId="3858" xr:uid="{00000000-0005-0000-0000-000011010000}"/>
    <cellStyle name="40 % - Accent2 3 4" xfId="951" xr:uid="{00000000-0005-0000-0000-000012010000}"/>
    <cellStyle name="40 % - Accent2 3 4 2" xfId="2252" xr:uid="{00000000-0005-0000-0000-000013010000}"/>
    <cellStyle name="40 % - Accent2 3 5" xfId="952" xr:uid="{00000000-0005-0000-0000-000014010000}"/>
    <cellStyle name="40 % - Accent2 4" xfId="953" xr:uid="{00000000-0005-0000-0000-000015010000}"/>
    <cellStyle name="40 % - Accent2 4 2" xfId="954" xr:uid="{00000000-0005-0000-0000-000016010000}"/>
    <cellStyle name="40 % - Accent2 4 3" xfId="2011" xr:uid="{00000000-0005-0000-0000-000017010000}"/>
    <cellStyle name="40 % - Accent2 5" xfId="955" xr:uid="{00000000-0005-0000-0000-000018010000}"/>
    <cellStyle name="40 % - Accent2 5 2" xfId="956" xr:uid="{00000000-0005-0000-0000-000019010000}"/>
    <cellStyle name="40 % - Accent2 5 3" xfId="2611" xr:uid="{00000000-0005-0000-0000-00001A010000}"/>
    <cellStyle name="40 % - Accent2 6" xfId="2806" xr:uid="{00000000-0005-0000-0000-00001B010000}"/>
    <cellStyle name="40 % - Accent2 6 2" xfId="5436" xr:uid="{00000000-0005-0000-0000-00001C010000}"/>
    <cellStyle name="40 % - Accent2 6 2 2" xfId="8350" xr:uid="{6A2E0760-12CB-4197-A7B2-544123815CAE}"/>
    <cellStyle name="40 % - Accent2 7" xfId="6297" xr:uid="{ECA07E86-314A-4893-AD94-CB854813C9B7}"/>
    <cellStyle name="40 % - Accent3 2" xfId="17" xr:uid="{00000000-0005-0000-0000-00001D010000}"/>
    <cellStyle name="40 % - Accent3 2 2" xfId="957" xr:uid="{00000000-0005-0000-0000-00001E010000}"/>
    <cellStyle name="40 % - Accent3 2 2 2" xfId="2972" xr:uid="{00000000-0005-0000-0000-00001F010000}"/>
    <cellStyle name="40 % - Accent3 2 2 3" xfId="3608" xr:uid="{00000000-0005-0000-0000-000020010000}"/>
    <cellStyle name="40 % - Accent3 2 2 3 2" xfId="4173" xr:uid="{00000000-0005-0000-0000-000021010000}"/>
    <cellStyle name="40 % - Accent3 2 3" xfId="958" xr:uid="{00000000-0005-0000-0000-000022010000}"/>
    <cellStyle name="40 % - Accent3 2 3 2" xfId="2973" xr:uid="{00000000-0005-0000-0000-000023010000}"/>
    <cellStyle name="40 % - Accent3 2 4" xfId="959" xr:uid="{00000000-0005-0000-0000-000024010000}"/>
    <cellStyle name="40 % - Accent3 2 5" xfId="960" xr:uid="{00000000-0005-0000-0000-000025010000}"/>
    <cellStyle name="40 % - Accent3 2 6" xfId="961" xr:uid="{00000000-0005-0000-0000-000026010000}"/>
    <cellStyle name="40 % - Accent3 2 7" xfId="962" xr:uid="{00000000-0005-0000-0000-000027010000}"/>
    <cellStyle name="40 % - Accent3 2 7 2" xfId="963" xr:uid="{00000000-0005-0000-0000-000028010000}"/>
    <cellStyle name="40 % - Accent3 2 8" xfId="964" xr:uid="{00000000-0005-0000-0000-000029010000}"/>
    <cellStyle name="40 % - Accent3 2 8 2" xfId="2199" xr:uid="{00000000-0005-0000-0000-00002A010000}"/>
    <cellStyle name="40 % - Accent3 2 9" xfId="965" xr:uid="{00000000-0005-0000-0000-00002B010000}"/>
    <cellStyle name="40 % - Accent3 3" xfId="18" xr:uid="{00000000-0005-0000-0000-00002C010000}"/>
    <cellStyle name="40 % - Accent3 3 2" xfId="966" xr:uid="{00000000-0005-0000-0000-00002D010000}"/>
    <cellStyle name="40 % - Accent3 3 2 2" xfId="967" xr:uid="{00000000-0005-0000-0000-00002E010000}"/>
    <cellStyle name="40 % - Accent3 3 2 3" xfId="3917" xr:uid="{00000000-0005-0000-0000-00002F010000}"/>
    <cellStyle name="40 % - Accent3 3 3" xfId="968" xr:uid="{00000000-0005-0000-0000-000030010000}"/>
    <cellStyle name="40 % - Accent3 3 3 2" xfId="969" xr:uid="{00000000-0005-0000-0000-000031010000}"/>
    <cellStyle name="40 % - Accent3 3 3 3" xfId="3859" xr:uid="{00000000-0005-0000-0000-000032010000}"/>
    <cellStyle name="40 % - Accent3 3 4" xfId="970" xr:uid="{00000000-0005-0000-0000-000033010000}"/>
    <cellStyle name="40 % - Accent3 3 4 2" xfId="2250" xr:uid="{00000000-0005-0000-0000-000034010000}"/>
    <cellStyle name="40 % - Accent3 3 5" xfId="971" xr:uid="{00000000-0005-0000-0000-000035010000}"/>
    <cellStyle name="40 % - Accent3 4" xfId="972" xr:uid="{00000000-0005-0000-0000-000036010000}"/>
    <cellStyle name="40 % - Accent3 4 2" xfId="973" xr:uid="{00000000-0005-0000-0000-000037010000}"/>
    <cellStyle name="40 % - Accent3 4 3" xfId="2014" xr:uid="{00000000-0005-0000-0000-000038010000}"/>
    <cellStyle name="40 % - Accent3 5" xfId="974" xr:uid="{00000000-0005-0000-0000-000039010000}"/>
    <cellStyle name="40 % - Accent3 5 2" xfId="975" xr:uid="{00000000-0005-0000-0000-00003A010000}"/>
    <cellStyle name="40 % - Accent3 5 3" xfId="2610" xr:uid="{00000000-0005-0000-0000-00003B010000}"/>
    <cellStyle name="40 % - Accent3 6" xfId="976" xr:uid="{00000000-0005-0000-0000-00003C010000}"/>
    <cellStyle name="40 % - Accent3 6 2" xfId="6428" xr:uid="{862F5954-FCC7-46AF-8C22-E7B0A7E5B2E9}"/>
    <cellStyle name="40 % - Accent3 7" xfId="2807" xr:uid="{00000000-0005-0000-0000-00003D010000}"/>
    <cellStyle name="40 % - Accent4" xfId="581" builtinId="43" customBuiltin="1"/>
    <cellStyle name="40 % - Accent4 2" xfId="19" xr:uid="{00000000-0005-0000-0000-00003F010000}"/>
    <cellStyle name="40 % - Accent4 2 2" xfId="977" xr:uid="{00000000-0005-0000-0000-000040010000}"/>
    <cellStyle name="40 % - Accent4 2 2 2" xfId="2975" xr:uid="{00000000-0005-0000-0000-000041010000}"/>
    <cellStyle name="40 % - Accent4 2 3" xfId="978" xr:uid="{00000000-0005-0000-0000-000042010000}"/>
    <cellStyle name="40 % - Accent4 2 4" xfId="979" xr:uid="{00000000-0005-0000-0000-000043010000}"/>
    <cellStyle name="40 % - Accent4 2 5" xfId="980" xr:uid="{00000000-0005-0000-0000-000044010000}"/>
    <cellStyle name="40 % - Accent4 2 6" xfId="981" xr:uid="{00000000-0005-0000-0000-000045010000}"/>
    <cellStyle name="40 % - Accent4 2 7" xfId="982" xr:uid="{00000000-0005-0000-0000-000046010000}"/>
    <cellStyle name="40 % - Accent4 2 7 2" xfId="983" xr:uid="{00000000-0005-0000-0000-000047010000}"/>
    <cellStyle name="40 % - Accent4 3" xfId="20" xr:uid="{00000000-0005-0000-0000-000048010000}"/>
    <cellStyle name="40 % - Accent4 3 2" xfId="984" xr:uid="{00000000-0005-0000-0000-000049010000}"/>
    <cellStyle name="40 % - Accent4 3 2 2" xfId="985" xr:uid="{00000000-0005-0000-0000-00004A010000}"/>
    <cellStyle name="40 % - Accent4 3 3" xfId="986" xr:uid="{00000000-0005-0000-0000-00004B010000}"/>
    <cellStyle name="40 % - Accent4 3 3 2" xfId="987" xr:uid="{00000000-0005-0000-0000-00004C010000}"/>
    <cellStyle name="40 % - Accent4 3 3 3" xfId="3860" xr:uid="{00000000-0005-0000-0000-00004D010000}"/>
    <cellStyle name="40 % - Accent4 3 4" xfId="988" xr:uid="{00000000-0005-0000-0000-00004E010000}"/>
    <cellStyle name="40 % - Accent4 4" xfId="989" xr:uid="{00000000-0005-0000-0000-00004F010000}"/>
    <cellStyle name="40 % - Accent4 4 2" xfId="990" xr:uid="{00000000-0005-0000-0000-000050010000}"/>
    <cellStyle name="40 % - Accent4 5" xfId="991" xr:uid="{00000000-0005-0000-0000-000051010000}"/>
    <cellStyle name="40 % - Accent4 5 2" xfId="992" xr:uid="{00000000-0005-0000-0000-000052010000}"/>
    <cellStyle name="40 % - Accent4 5 3" xfId="2609" xr:uid="{00000000-0005-0000-0000-000053010000}"/>
    <cellStyle name="40 % - Accent4 6" xfId="2808" xr:uid="{00000000-0005-0000-0000-000054010000}"/>
    <cellStyle name="40 % - Accent4 6 2" xfId="5438" xr:uid="{00000000-0005-0000-0000-000055010000}"/>
    <cellStyle name="40 % - Accent4 6 2 2" xfId="8351" xr:uid="{B930986E-107D-4B3D-8EBF-4459D6479065}"/>
    <cellStyle name="40 % - Accent4 7" xfId="6298" xr:uid="{1562727E-542B-4E97-8B79-99C57CDF1335}"/>
    <cellStyle name="40 % - Accent5" xfId="583" builtinId="47" customBuiltin="1"/>
    <cellStyle name="40 % - Accent5 2" xfId="21" xr:uid="{00000000-0005-0000-0000-000057010000}"/>
    <cellStyle name="40 % - Accent5 2 2" xfId="993" xr:uid="{00000000-0005-0000-0000-000058010000}"/>
    <cellStyle name="40 % - Accent5 2 2 2" xfId="2976" xr:uid="{00000000-0005-0000-0000-000059010000}"/>
    <cellStyle name="40 % - Accent5 2 3" xfId="994" xr:uid="{00000000-0005-0000-0000-00005A010000}"/>
    <cellStyle name="40 % - Accent5 2 4" xfId="995" xr:uid="{00000000-0005-0000-0000-00005B010000}"/>
    <cellStyle name="40 % - Accent5 2 5" xfId="996" xr:uid="{00000000-0005-0000-0000-00005C010000}"/>
    <cellStyle name="40 % - Accent5 2 6" xfId="997" xr:uid="{00000000-0005-0000-0000-00005D010000}"/>
    <cellStyle name="40 % - Accent5 2 7" xfId="998" xr:uid="{00000000-0005-0000-0000-00005E010000}"/>
    <cellStyle name="40 % - Accent5 2 7 2" xfId="999" xr:uid="{00000000-0005-0000-0000-00005F010000}"/>
    <cellStyle name="40 % - Accent5 3" xfId="22" xr:uid="{00000000-0005-0000-0000-000060010000}"/>
    <cellStyle name="40 % - Accent5 3 2" xfId="1000" xr:uid="{00000000-0005-0000-0000-000061010000}"/>
    <cellStyle name="40 % - Accent5 3 2 2" xfId="1001" xr:uid="{00000000-0005-0000-0000-000062010000}"/>
    <cellStyle name="40 % - Accent5 3 3" xfId="1002" xr:uid="{00000000-0005-0000-0000-000063010000}"/>
    <cellStyle name="40 % - Accent5 3 3 2" xfId="1003" xr:uid="{00000000-0005-0000-0000-000064010000}"/>
    <cellStyle name="40 % - Accent5 3 3 3" xfId="3861" xr:uid="{00000000-0005-0000-0000-000065010000}"/>
    <cellStyle name="40 % - Accent5 3 4" xfId="1004" xr:uid="{00000000-0005-0000-0000-000066010000}"/>
    <cellStyle name="40 % - Accent5 4" xfId="1005" xr:uid="{00000000-0005-0000-0000-000067010000}"/>
    <cellStyle name="40 % - Accent5 4 2" xfId="1006" xr:uid="{00000000-0005-0000-0000-000068010000}"/>
    <cellStyle name="40 % - Accent5 5" xfId="1007" xr:uid="{00000000-0005-0000-0000-000069010000}"/>
    <cellStyle name="40 % - Accent5 5 2" xfId="1008" xr:uid="{00000000-0005-0000-0000-00006A010000}"/>
    <cellStyle name="40 % - Accent5 5 3" xfId="2608" xr:uid="{00000000-0005-0000-0000-00006B010000}"/>
    <cellStyle name="40 % - Accent5 6" xfId="2809" xr:uid="{00000000-0005-0000-0000-00006C010000}"/>
    <cellStyle name="40 % - Accent5 6 2" xfId="5440" xr:uid="{00000000-0005-0000-0000-00006D010000}"/>
    <cellStyle name="40 % - Accent5 6 2 2" xfId="8353" xr:uid="{7BEA75A1-C72B-4020-B06C-5610709F7DBF}"/>
    <cellStyle name="40 % - Accent5 7" xfId="6300" xr:uid="{8C18259C-65A7-4CBD-8110-AD7FA1177399}"/>
    <cellStyle name="40 % - Accent6" xfId="586" builtinId="51" customBuiltin="1"/>
    <cellStyle name="40 % - Accent6 2" xfId="23" xr:uid="{00000000-0005-0000-0000-00006F010000}"/>
    <cellStyle name="40 % - Accent6 2 2" xfId="1009" xr:uid="{00000000-0005-0000-0000-000070010000}"/>
    <cellStyle name="40 % - Accent6 2 2 2" xfId="2977" xr:uid="{00000000-0005-0000-0000-000071010000}"/>
    <cellStyle name="40 % - Accent6 2 3" xfId="1010" xr:uid="{00000000-0005-0000-0000-000072010000}"/>
    <cellStyle name="40 % - Accent6 2 4" xfId="1011" xr:uid="{00000000-0005-0000-0000-000073010000}"/>
    <cellStyle name="40 % - Accent6 2 5" xfId="1012" xr:uid="{00000000-0005-0000-0000-000074010000}"/>
    <cellStyle name="40 % - Accent6 2 6" xfId="1013" xr:uid="{00000000-0005-0000-0000-000075010000}"/>
    <cellStyle name="40 % - Accent6 2 7" xfId="1014" xr:uid="{00000000-0005-0000-0000-000076010000}"/>
    <cellStyle name="40 % - Accent6 2 7 2" xfId="1015" xr:uid="{00000000-0005-0000-0000-000077010000}"/>
    <cellStyle name="40 % - Accent6 3" xfId="24" xr:uid="{00000000-0005-0000-0000-000078010000}"/>
    <cellStyle name="40 % - Accent6 3 2" xfId="1016" xr:uid="{00000000-0005-0000-0000-000079010000}"/>
    <cellStyle name="40 % - Accent6 3 2 2" xfId="1017" xr:uid="{00000000-0005-0000-0000-00007A010000}"/>
    <cellStyle name="40 % - Accent6 3 3" xfId="1018" xr:uid="{00000000-0005-0000-0000-00007B010000}"/>
    <cellStyle name="40 % - Accent6 3 3 2" xfId="1019" xr:uid="{00000000-0005-0000-0000-00007C010000}"/>
    <cellStyle name="40 % - Accent6 3 3 3" xfId="3862" xr:uid="{00000000-0005-0000-0000-00007D010000}"/>
    <cellStyle name="40 % - Accent6 3 4" xfId="1020" xr:uid="{00000000-0005-0000-0000-00007E010000}"/>
    <cellStyle name="40 % - Accent6 4" xfId="1021" xr:uid="{00000000-0005-0000-0000-00007F010000}"/>
    <cellStyle name="40 % - Accent6 4 2" xfId="1022" xr:uid="{00000000-0005-0000-0000-000080010000}"/>
    <cellStyle name="40 % - Accent6 5" xfId="1023" xr:uid="{00000000-0005-0000-0000-000081010000}"/>
    <cellStyle name="40 % - Accent6 5 2" xfId="1024" xr:uid="{00000000-0005-0000-0000-000082010000}"/>
    <cellStyle name="40 % - Accent6 5 3" xfId="2606" xr:uid="{00000000-0005-0000-0000-000083010000}"/>
    <cellStyle name="40 % - Accent6 6" xfId="2810" xr:uid="{00000000-0005-0000-0000-000084010000}"/>
    <cellStyle name="40 % - Accent6 6 2" xfId="5443" xr:uid="{00000000-0005-0000-0000-000085010000}"/>
    <cellStyle name="40 % - Accent6 6 2 2" xfId="8355" xr:uid="{499CDE3D-07E0-4A83-BB0C-E03DE2228C81}"/>
    <cellStyle name="40 % - Accent6 7" xfId="6302" xr:uid="{C641D29A-87E7-4CB6-AC30-2682EFB140E3}"/>
    <cellStyle name="60 % - Accent1" xfId="578" builtinId="32" customBuiltin="1"/>
    <cellStyle name="60 % - Accent1 2" xfId="25" xr:uid="{00000000-0005-0000-0000-000087010000}"/>
    <cellStyle name="60 % - Accent1 2 2" xfId="1025" xr:uid="{00000000-0005-0000-0000-000088010000}"/>
    <cellStyle name="60 % - Accent1 2 2 2" xfId="2978" xr:uid="{00000000-0005-0000-0000-000089010000}"/>
    <cellStyle name="60 % - Accent1 2 2 3" xfId="2321" xr:uid="{00000000-0005-0000-0000-00008A010000}"/>
    <cellStyle name="60 % - Accent1 2 2 3 2" xfId="4151" xr:uid="{00000000-0005-0000-0000-00008B010000}"/>
    <cellStyle name="60 % - Accent1 2 3" xfId="1026" xr:uid="{00000000-0005-0000-0000-00008C010000}"/>
    <cellStyle name="60 % - Accent1 2 3 2" xfId="2979" xr:uid="{00000000-0005-0000-0000-00008D010000}"/>
    <cellStyle name="60 % - Accent1 2 4" xfId="1027" xr:uid="{00000000-0005-0000-0000-00008E010000}"/>
    <cellStyle name="60 % - Accent1 2 5" xfId="1028" xr:uid="{00000000-0005-0000-0000-00008F010000}"/>
    <cellStyle name="60 % - Accent1 2 6" xfId="1029" xr:uid="{00000000-0005-0000-0000-000090010000}"/>
    <cellStyle name="60 % - Accent1 2 7" xfId="1030" xr:uid="{00000000-0005-0000-0000-000091010000}"/>
    <cellStyle name="60 % - Accent1 2 7 2" xfId="1031" xr:uid="{00000000-0005-0000-0000-000092010000}"/>
    <cellStyle name="60 % - Accent1 2 8" xfId="1032" xr:uid="{00000000-0005-0000-0000-000093010000}"/>
    <cellStyle name="60 % - Accent1 2 8 2" xfId="2155" xr:uid="{00000000-0005-0000-0000-000094010000}"/>
    <cellStyle name="60 % - Accent1 2 9" xfId="1033" xr:uid="{00000000-0005-0000-0000-000095010000}"/>
    <cellStyle name="60 % - Accent1 3" xfId="26" xr:uid="{00000000-0005-0000-0000-000096010000}"/>
    <cellStyle name="60 % - Accent1 3 2" xfId="1034" xr:uid="{00000000-0005-0000-0000-000097010000}"/>
    <cellStyle name="60 % - Accent1 3 2 2" xfId="1035" xr:uid="{00000000-0005-0000-0000-000098010000}"/>
    <cellStyle name="60 % - Accent1 3 2 3" xfId="3918" xr:uid="{00000000-0005-0000-0000-000099010000}"/>
    <cellStyle name="60 % - Accent1 3 3" xfId="1036" xr:uid="{00000000-0005-0000-0000-00009A010000}"/>
    <cellStyle name="60 % - Accent1 3 3 2" xfId="1037" xr:uid="{00000000-0005-0000-0000-00009B010000}"/>
    <cellStyle name="60 % - Accent1 3 3 3" xfId="3863" xr:uid="{00000000-0005-0000-0000-00009C010000}"/>
    <cellStyle name="60 % - Accent1 3 4" xfId="1038" xr:uid="{00000000-0005-0000-0000-00009D010000}"/>
    <cellStyle name="60 % - Accent1 3 4 2" xfId="2157" xr:uid="{00000000-0005-0000-0000-00009E010000}"/>
    <cellStyle name="60 % - Accent1 3 5" xfId="1039" xr:uid="{00000000-0005-0000-0000-00009F010000}"/>
    <cellStyle name="60 % - Accent1 4" xfId="1040" xr:uid="{00000000-0005-0000-0000-0000A0010000}"/>
    <cellStyle name="60 % - Accent1 4 2" xfId="1041" xr:uid="{00000000-0005-0000-0000-0000A1010000}"/>
    <cellStyle name="60 % - Accent1 4 3" xfId="2021" xr:uid="{00000000-0005-0000-0000-0000A2010000}"/>
    <cellStyle name="60 % - Accent1 5" xfId="1042" xr:uid="{00000000-0005-0000-0000-0000A3010000}"/>
    <cellStyle name="60 % - Accent1 5 2" xfId="1043" xr:uid="{00000000-0005-0000-0000-0000A4010000}"/>
    <cellStyle name="60 % - Accent1 5 3" xfId="2603" xr:uid="{00000000-0005-0000-0000-0000A5010000}"/>
    <cellStyle name="60 % - Accent1 6" xfId="2812" xr:uid="{00000000-0005-0000-0000-0000A6010000}"/>
    <cellStyle name="60 % - Accent1 6 2" xfId="5435" xr:uid="{00000000-0005-0000-0000-0000A7010000}"/>
    <cellStyle name="60 % - Accent2" xfId="580" builtinId="36" customBuiltin="1"/>
    <cellStyle name="60 % - Accent2 2" xfId="27" xr:uid="{00000000-0005-0000-0000-0000A9010000}"/>
    <cellStyle name="60 % - Accent2 2 2" xfId="1044" xr:uid="{00000000-0005-0000-0000-0000AA010000}"/>
    <cellStyle name="60 % - Accent2 2 2 2" xfId="2980" xr:uid="{00000000-0005-0000-0000-0000AB010000}"/>
    <cellStyle name="60 % - Accent2 2 2 3" xfId="3206" xr:uid="{00000000-0005-0000-0000-0000AC010000}"/>
    <cellStyle name="60 % - Accent2 2 2 3 2" xfId="4172" xr:uid="{00000000-0005-0000-0000-0000AD010000}"/>
    <cellStyle name="60 % - Accent2 2 3" xfId="1045" xr:uid="{00000000-0005-0000-0000-0000AE010000}"/>
    <cellStyle name="60 % - Accent2 2 3 2" xfId="2981" xr:uid="{00000000-0005-0000-0000-0000AF010000}"/>
    <cellStyle name="60 % - Accent2 2 4" xfId="1046" xr:uid="{00000000-0005-0000-0000-0000B0010000}"/>
    <cellStyle name="60 % - Accent2 2 5" xfId="1047" xr:uid="{00000000-0005-0000-0000-0000B1010000}"/>
    <cellStyle name="60 % - Accent2 2 6" xfId="1048" xr:uid="{00000000-0005-0000-0000-0000B2010000}"/>
    <cellStyle name="60 % - Accent2 2 7" xfId="1049" xr:uid="{00000000-0005-0000-0000-0000B3010000}"/>
    <cellStyle name="60 % - Accent2 2 7 2" xfId="1050" xr:uid="{00000000-0005-0000-0000-0000B4010000}"/>
    <cellStyle name="60 % - Accent2 2 8" xfId="1051" xr:uid="{00000000-0005-0000-0000-0000B5010000}"/>
    <cellStyle name="60 % - Accent2 2 8 2" xfId="2162" xr:uid="{00000000-0005-0000-0000-0000B6010000}"/>
    <cellStyle name="60 % - Accent2 2 9" xfId="1052" xr:uid="{00000000-0005-0000-0000-0000B7010000}"/>
    <cellStyle name="60 % - Accent2 3" xfId="28" xr:uid="{00000000-0005-0000-0000-0000B8010000}"/>
    <cellStyle name="60 % - Accent2 3 2" xfId="1053" xr:uid="{00000000-0005-0000-0000-0000B9010000}"/>
    <cellStyle name="60 % - Accent2 3 2 2" xfId="1054" xr:uid="{00000000-0005-0000-0000-0000BA010000}"/>
    <cellStyle name="60 % - Accent2 3 2 3" xfId="3919" xr:uid="{00000000-0005-0000-0000-0000BB010000}"/>
    <cellStyle name="60 % - Accent2 3 3" xfId="1055" xr:uid="{00000000-0005-0000-0000-0000BC010000}"/>
    <cellStyle name="60 % - Accent2 3 3 2" xfId="1056" xr:uid="{00000000-0005-0000-0000-0000BD010000}"/>
    <cellStyle name="60 % - Accent2 3 3 3" xfId="3864" xr:uid="{00000000-0005-0000-0000-0000BE010000}"/>
    <cellStyle name="60 % - Accent2 3 4" xfId="1057" xr:uid="{00000000-0005-0000-0000-0000BF010000}"/>
    <cellStyle name="60 % - Accent2 3 4 2" xfId="2101" xr:uid="{00000000-0005-0000-0000-0000C0010000}"/>
    <cellStyle name="60 % - Accent2 3 5" xfId="1058" xr:uid="{00000000-0005-0000-0000-0000C1010000}"/>
    <cellStyle name="60 % - Accent2 4" xfId="1059" xr:uid="{00000000-0005-0000-0000-0000C2010000}"/>
    <cellStyle name="60 % - Accent2 4 2" xfId="1060" xr:uid="{00000000-0005-0000-0000-0000C3010000}"/>
    <cellStyle name="60 % - Accent2 4 3" xfId="2022" xr:uid="{00000000-0005-0000-0000-0000C4010000}"/>
    <cellStyle name="60 % - Accent2 5" xfId="1061" xr:uid="{00000000-0005-0000-0000-0000C5010000}"/>
    <cellStyle name="60 % - Accent2 5 2" xfId="1062" xr:uid="{00000000-0005-0000-0000-0000C6010000}"/>
    <cellStyle name="60 % - Accent2 5 3" xfId="2602" xr:uid="{00000000-0005-0000-0000-0000C7010000}"/>
    <cellStyle name="60 % - Accent2 6" xfId="2813" xr:uid="{00000000-0005-0000-0000-0000C8010000}"/>
    <cellStyle name="60 % - Accent2 6 2" xfId="5437" xr:uid="{00000000-0005-0000-0000-0000C9010000}"/>
    <cellStyle name="60 % - Accent3 2" xfId="29" xr:uid="{00000000-0005-0000-0000-0000CA010000}"/>
    <cellStyle name="60 % - Accent3 2 2" xfId="1063" xr:uid="{00000000-0005-0000-0000-0000CB010000}"/>
    <cellStyle name="60 % - Accent3 2 2 2" xfId="2983" xr:uid="{00000000-0005-0000-0000-0000CC010000}"/>
    <cellStyle name="60 % - Accent3 2 2 3" xfId="2626" xr:uid="{00000000-0005-0000-0000-0000CD010000}"/>
    <cellStyle name="60 % - Accent3 2 2 3 2" xfId="3945" xr:uid="{00000000-0005-0000-0000-0000CE010000}"/>
    <cellStyle name="60 % - Accent3 2 3" xfId="1064" xr:uid="{00000000-0005-0000-0000-0000CF010000}"/>
    <cellStyle name="60 % - Accent3 2 3 2" xfId="2984" xr:uid="{00000000-0005-0000-0000-0000D0010000}"/>
    <cellStyle name="60 % - Accent3 2 4" xfId="1065" xr:uid="{00000000-0005-0000-0000-0000D1010000}"/>
    <cellStyle name="60 % - Accent3 2 5" xfId="1066" xr:uid="{00000000-0005-0000-0000-0000D2010000}"/>
    <cellStyle name="60 % - Accent3 2 6" xfId="1067" xr:uid="{00000000-0005-0000-0000-0000D3010000}"/>
    <cellStyle name="60 % - Accent3 2 7" xfId="1068" xr:uid="{00000000-0005-0000-0000-0000D4010000}"/>
    <cellStyle name="60 % - Accent3 2 7 2" xfId="1069" xr:uid="{00000000-0005-0000-0000-0000D5010000}"/>
    <cellStyle name="60 % - Accent3 2 8" xfId="1070" xr:uid="{00000000-0005-0000-0000-0000D6010000}"/>
    <cellStyle name="60 % - Accent3 2 8 2" xfId="2237" xr:uid="{00000000-0005-0000-0000-0000D7010000}"/>
    <cellStyle name="60 % - Accent3 2 9" xfId="1071" xr:uid="{00000000-0005-0000-0000-0000D8010000}"/>
    <cellStyle name="60 % - Accent3 3" xfId="30" xr:uid="{00000000-0005-0000-0000-0000D9010000}"/>
    <cellStyle name="60 % - Accent3 3 2" xfId="1072" xr:uid="{00000000-0005-0000-0000-0000DA010000}"/>
    <cellStyle name="60 % - Accent3 3 2 2" xfId="1073" xr:uid="{00000000-0005-0000-0000-0000DB010000}"/>
    <cellStyle name="60 % - Accent3 3 2 3" xfId="3920" xr:uid="{00000000-0005-0000-0000-0000DC010000}"/>
    <cellStyle name="60 % - Accent3 3 3" xfId="1074" xr:uid="{00000000-0005-0000-0000-0000DD010000}"/>
    <cellStyle name="60 % - Accent3 3 3 2" xfId="1075" xr:uid="{00000000-0005-0000-0000-0000DE010000}"/>
    <cellStyle name="60 % - Accent3 3 3 3" xfId="3865" xr:uid="{00000000-0005-0000-0000-0000DF010000}"/>
    <cellStyle name="60 % - Accent3 3 4" xfId="1076" xr:uid="{00000000-0005-0000-0000-0000E0010000}"/>
    <cellStyle name="60 % - Accent3 3 4 2" xfId="2146" xr:uid="{00000000-0005-0000-0000-0000E1010000}"/>
    <cellStyle name="60 % - Accent3 3 5" xfId="1077" xr:uid="{00000000-0005-0000-0000-0000E2010000}"/>
    <cellStyle name="60 % - Accent3 4" xfId="1078" xr:uid="{00000000-0005-0000-0000-0000E3010000}"/>
    <cellStyle name="60 % - Accent3 4 2" xfId="1079" xr:uid="{00000000-0005-0000-0000-0000E4010000}"/>
    <cellStyle name="60 % - Accent3 4 3" xfId="2024" xr:uid="{00000000-0005-0000-0000-0000E5010000}"/>
    <cellStyle name="60 % - Accent3 5" xfId="1080" xr:uid="{00000000-0005-0000-0000-0000E6010000}"/>
    <cellStyle name="60 % - Accent3 5 2" xfId="1081" xr:uid="{00000000-0005-0000-0000-0000E7010000}"/>
    <cellStyle name="60 % - Accent3 5 3" xfId="2601" xr:uid="{00000000-0005-0000-0000-0000E8010000}"/>
    <cellStyle name="60 % - Accent3 6" xfId="1082" xr:uid="{00000000-0005-0000-0000-0000E9010000}"/>
    <cellStyle name="60 % - Accent3 7" xfId="2814" xr:uid="{00000000-0005-0000-0000-0000EA010000}"/>
    <cellStyle name="60 % - Accent4 2" xfId="31" xr:uid="{00000000-0005-0000-0000-0000EB010000}"/>
    <cellStyle name="60 % - Accent4 2 2" xfId="1083" xr:uid="{00000000-0005-0000-0000-0000EC010000}"/>
    <cellStyle name="60 % - Accent4 2 2 2" xfId="2985" xr:uid="{00000000-0005-0000-0000-0000ED010000}"/>
    <cellStyle name="60 % - Accent4 2 2 3" xfId="3605" xr:uid="{00000000-0005-0000-0000-0000EE010000}"/>
    <cellStyle name="60 % - Accent4 2 2 3 2" xfId="2233" xr:uid="{00000000-0005-0000-0000-0000EF010000}"/>
    <cellStyle name="60 % - Accent4 2 3" xfId="1084" xr:uid="{00000000-0005-0000-0000-0000F0010000}"/>
    <cellStyle name="60 % - Accent4 2 3 2" xfId="2986" xr:uid="{00000000-0005-0000-0000-0000F1010000}"/>
    <cellStyle name="60 % - Accent4 2 4" xfId="1085" xr:uid="{00000000-0005-0000-0000-0000F2010000}"/>
    <cellStyle name="60 % - Accent4 2 5" xfId="1086" xr:uid="{00000000-0005-0000-0000-0000F3010000}"/>
    <cellStyle name="60 % - Accent4 2 6" xfId="1087" xr:uid="{00000000-0005-0000-0000-0000F4010000}"/>
    <cellStyle name="60 % - Accent4 2 7" xfId="1088" xr:uid="{00000000-0005-0000-0000-0000F5010000}"/>
    <cellStyle name="60 % - Accent4 2 7 2" xfId="1089" xr:uid="{00000000-0005-0000-0000-0000F6010000}"/>
    <cellStyle name="60 % - Accent4 2 8" xfId="1090" xr:uid="{00000000-0005-0000-0000-0000F7010000}"/>
    <cellStyle name="60 % - Accent4 2 8 2" xfId="2093" xr:uid="{00000000-0005-0000-0000-0000F8010000}"/>
    <cellStyle name="60 % - Accent4 2 9" xfId="1091" xr:uid="{00000000-0005-0000-0000-0000F9010000}"/>
    <cellStyle name="60 % - Accent4 3" xfId="32" xr:uid="{00000000-0005-0000-0000-0000FA010000}"/>
    <cellStyle name="60 % - Accent4 3 2" xfId="1092" xr:uid="{00000000-0005-0000-0000-0000FB010000}"/>
    <cellStyle name="60 % - Accent4 3 2 2" xfId="1093" xr:uid="{00000000-0005-0000-0000-0000FC010000}"/>
    <cellStyle name="60 % - Accent4 3 2 3" xfId="3921" xr:uid="{00000000-0005-0000-0000-0000FD010000}"/>
    <cellStyle name="60 % - Accent4 3 3" xfId="1094" xr:uid="{00000000-0005-0000-0000-0000FE010000}"/>
    <cellStyle name="60 % - Accent4 3 3 2" xfId="1095" xr:uid="{00000000-0005-0000-0000-0000FF010000}"/>
    <cellStyle name="60 % - Accent4 3 3 3" xfId="3866" xr:uid="{00000000-0005-0000-0000-000000020000}"/>
    <cellStyle name="60 % - Accent4 3 4" xfId="1096" xr:uid="{00000000-0005-0000-0000-000001020000}"/>
    <cellStyle name="60 % - Accent4 3 4 2" xfId="2092" xr:uid="{00000000-0005-0000-0000-000002020000}"/>
    <cellStyle name="60 % - Accent4 3 5" xfId="1097" xr:uid="{00000000-0005-0000-0000-000003020000}"/>
    <cellStyle name="60 % - Accent4 4" xfId="1098" xr:uid="{00000000-0005-0000-0000-000004020000}"/>
    <cellStyle name="60 % - Accent4 4 2" xfId="1099" xr:uid="{00000000-0005-0000-0000-000005020000}"/>
    <cellStyle name="60 % - Accent4 4 3" xfId="2025" xr:uid="{00000000-0005-0000-0000-000006020000}"/>
    <cellStyle name="60 % - Accent4 5" xfId="1100" xr:uid="{00000000-0005-0000-0000-000007020000}"/>
    <cellStyle name="60 % - Accent4 5 2" xfId="1101" xr:uid="{00000000-0005-0000-0000-000008020000}"/>
    <cellStyle name="60 % - Accent4 5 3" xfId="2600" xr:uid="{00000000-0005-0000-0000-000009020000}"/>
    <cellStyle name="60 % - Accent4 6" xfId="1102" xr:uid="{00000000-0005-0000-0000-00000A020000}"/>
    <cellStyle name="60 % - Accent4 7" xfId="2815" xr:uid="{00000000-0005-0000-0000-00000B020000}"/>
    <cellStyle name="60 % - Accent5" xfId="584" builtinId="48" customBuiltin="1"/>
    <cellStyle name="60 % - Accent5 2" xfId="33" xr:uid="{00000000-0005-0000-0000-00000D020000}"/>
    <cellStyle name="60 % - Accent5 2 2" xfId="1103" xr:uid="{00000000-0005-0000-0000-00000E020000}"/>
    <cellStyle name="60 % - Accent5 2 2 2" xfId="2987" xr:uid="{00000000-0005-0000-0000-00000F020000}"/>
    <cellStyle name="60 % - Accent5 2 3" xfId="1104" xr:uid="{00000000-0005-0000-0000-000010020000}"/>
    <cellStyle name="60 % - Accent5 2 4" xfId="1105" xr:uid="{00000000-0005-0000-0000-000011020000}"/>
    <cellStyle name="60 % - Accent5 2 5" xfId="1106" xr:uid="{00000000-0005-0000-0000-000012020000}"/>
    <cellStyle name="60 % - Accent5 2 6" xfId="1107" xr:uid="{00000000-0005-0000-0000-000013020000}"/>
    <cellStyle name="60 % - Accent5 2 7" xfId="1108" xr:uid="{00000000-0005-0000-0000-000014020000}"/>
    <cellStyle name="60 % - Accent5 2 7 2" xfId="1109" xr:uid="{00000000-0005-0000-0000-000015020000}"/>
    <cellStyle name="60 % - Accent5 3" xfId="34" xr:uid="{00000000-0005-0000-0000-000016020000}"/>
    <cellStyle name="60 % - Accent5 3 2" xfId="1110" xr:uid="{00000000-0005-0000-0000-000017020000}"/>
    <cellStyle name="60 % - Accent5 3 2 2" xfId="1111" xr:uid="{00000000-0005-0000-0000-000018020000}"/>
    <cellStyle name="60 % - Accent5 3 3" xfId="1112" xr:uid="{00000000-0005-0000-0000-000019020000}"/>
    <cellStyle name="60 % - Accent5 3 3 2" xfId="1113" xr:uid="{00000000-0005-0000-0000-00001A020000}"/>
    <cellStyle name="60 % - Accent5 3 3 3" xfId="3867" xr:uid="{00000000-0005-0000-0000-00001B020000}"/>
    <cellStyle name="60 % - Accent5 3 4" xfId="1114" xr:uid="{00000000-0005-0000-0000-00001C020000}"/>
    <cellStyle name="60 % - Accent5 4" xfId="1115" xr:uid="{00000000-0005-0000-0000-00001D020000}"/>
    <cellStyle name="60 % - Accent5 4 2" xfId="1116" xr:uid="{00000000-0005-0000-0000-00001E020000}"/>
    <cellStyle name="60 % - Accent5 5" xfId="1117" xr:uid="{00000000-0005-0000-0000-00001F020000}"/>
    <cellStyle name="60 % - Accent5 5 2" xfId="1118" xr:uid="{00000000-0005-0000-0000-000020020000}"/>
    <cellStyle name="60 % - Accent5 5 3" xfId="2599" xr:uid="{00000000-0005-0000-0000-000021020000}"/>
    <cellStyle name="60 % - Accent5 6" xfId="2816" xr:uid="{00000000-0005-0000-0000-000022020000}"/>
    <cellStyle name="60 % - Accent5 6 2" xfId="5441" xr:uid="{00000000-0005-0000-0000-000023020000}"/>
    <cellStyle name="60 % - Accent6 2" xfId="35" xr:uid="{00000000-0005-0000-0000-000024020000}"/>
    <cellStyle name="60 % - Accent6 2 2" xfId="1119" xr:uid="{00000000-0005-0000-0000-000025020000}"/>
    <cellStyle name="60 % - Accent6 2 2 2" xfId="2988" xr:uid="{00000000-0005-0000-0000-000026020000}"/>
    <cellStyle name="60 % - Accent6 2 2 3" xfId="2627" xr:uid="{00000000-0005-0000-0000-000027020000}"/>
    <cellStyle name="60 % - Accent6 2 2 3 2" xfId="2254" xr:uid="{00000000-0005-0000-0000-000028020000}"/>
    <cellStyle name="60 % - Accent6 2 3" xfId="1120" xr:uid="{00000000-0005-0000-0000-000029020000}"/>
    <cellStyle name="60 % - Accent6 2 3 2" xfId="2989" xr:uid="{00000000-0005-0000-0000-00002A020000}"/>
    <cellStyle name="60 % - Accent6 2 4" xfId="1121" xr:uid="{00000000-0005-0000-0000-00002B020000}"/>
    <cellStyle name="60 % - Accent6 2 5" xfId="1122" xr:uid="{00000000-0005-0000-0000-00002C020000}"/>
    <cellStyle name="60 % - Accent6 2 6" xfId="1123" xr:uid="{00000000-0005-0000-0000-00002D020000}"/>
    <cellStyle name="60 % - Accent6 2 7" xfId="1124" xr:uid="{00000000-0005-0000-0000-00002E020000}"/>
    <cellStyle name="60 % - Accent6 2 7 2" xfId="1125" xr:uid="{00000000-0005-0000-0000-00002F020000}"/>
    <cellStyle name="60 % - Accent6 2 8" xfId="1126" xr:uid="{00000000-0005-0000-0000-000030020000}"/>
    <cellStyle name="60 % - Accent6 2 8 2" xfId="2166" xr:uid="{00000000-0005-0000-0000-000031020000}"/>
    <cellStyle name="60 % - Accent6 2 9" xfId="1127" xr:uid="{00000000-0005-0000-0000-000032020000}"/>
    <cellStyle name="60 % - Accent6 3" xfId="36" xr:uid="{00000000-0005-0000-0000-000033020000}"/>
    <cellStyle name="60 % - Accent6 3 2" xfId="1128" xr:uid="{00000000-0005-0000-0000-000034020000}"/>
    <cellStyle name="60 % - Accent6 3 2 2" xfId="1129" xr:uid="{00000000-0005-0000-0000-000035020000}"/>
    <cellStyle name="60 % - Accent6 3 2 3" xfId="3922" xr:uid="{00000000-0005-0000-0000-000036020000}"/>
    <cellStyle name="60 % - Accent6 3 3" xfId="1130" xr:uid="{00000000-0005-0000-0000-000037020000}"/>
    <cellStyle name="60 % - Accent6 3 3 2" xfId="1131" xr:uid="{00000000-0005-0000-0000-000038020000}"/>
    <cellStyle name="60 % - Accent6 3 3 3" xfId="3868" xr:uid="{00000000-0005-0000-0000-000039020000}"/>
    <cellStyle name="60 % - Accent6 3 4" xfId="1132" xr:uid="{00000000-0005-0000-0000-00003A020000}"/>
    <cellStyle name="60 % - Accent6 3 4 2" xfId="2087" xr:uid="{00000000-0005-0000-0000-00003B020000}"/>
    <cellStyle name="60 % - Accent6 3 5" xfId="1133" xr:uid="{00000000-0005-0000-0000-00003C020000}"/>
    <cellStyle name="60 % - Accent6 4" xfId="1134" xr:uid="{00000000-0005-0000-0000-00003D020000}"/>
    <cellStyle name="60 % - Accent6 4 2" xfId="1135" xr:uid="{00000000-0005-0000-0000-00003E020000}"/>
    <cellStyle name="60 % - Accent6 4 3" xfId="2027" xr:uid="{00000000-0005-0000-0000-00003F020000}"/>
    <cellStyle name="60 % - Accent6 5" xfId="1136" xr:uid="{00000000-0005-0000-0000-000040020000}"/>
    <cellStyle name="60 % - Accent6 5 2" xfId="1137" xr:uid="{00000000-0005-0000-0000-000041020000}"/>
    <cellStyle name="60 % - Accent6 5 3" xfId="2913" xr:uid="{00000000-0005-0000-0000-000042020000}"/>
    <cellStyle name="60 % - Accent6 6" xfId="1138" xr:uid="{00000000-0005-0000-0000-000043020000}"/>
    <cellStyle name="60 % - Accent6 7" xfId="2817" xr:uid="{00000000-0005-0000-0000-000044020000}"/>
    <cellStyle name="Accent1" xfId="37" builtinId="29" customBuiltin="1"/>
    <cellStyle name="Accent1 - 20 %" xfId="38" xr:uid="{00000000-0005-0000-0000-000046020000}"/>
    <cellStyle name="Accent1 - 20 % 2" xfId="39" xr:uid="{00000000-0005-0000-0000-000047020000}"/>
    <cellStyle name="Accent1 - 20 % 2 2" xfId="40" xr:uid="{00000000-0005-0000-0000-000048020000}"/>
    <cellStyle name="Accent1 - 20 % 2 2 2" xfId="2990" xr:uid="{00000000-0005-0000-0000-000049020000}"/>
    <cellStyle name="Accent1 - 20 % 2 3" xfId="1140" xr:uid="{00000000-0005-0000-0000-00004A020000}"/>
    <cellStyle name="Accent1 - 20 % 2 4" xfId="2083" xr:uid="{00000000-0005-0000-0000-00004B020000}"/>
    <cellStyle name="Accent1 - 20 % 3" xfId="41" xr:uid="{00000000-0005-0000-0000-00004C020000}"/>
    <cellStyle name="Accent1 - 20 % 3 2" xfId="2991" xr:uid="{00000000-0005-0000-0000-00004D020000}"/>
    <cellStyle name="Accent1 - 20 % 3 3" xfId="3923" xr:uid="{00000000-0005-0000-0000-00004E020000}"/>
    <cellStyle name="Accent1 - 20 % 3 4" xfId="3869" xr:uid="{00000000-0005-0000-0000-00004F020000}"/>
    <cellStyle name="Accent1 - 20 % 4" xfId="42" xr:uid="{00000000-0005-0000-0000-000050020000}"/>
    <cellStyle name="Accent1 - 20 % 4 2" xfId="2168" xr:uid="{00000000-0005-0000-0000-000051020000}"/>
    <cellStyle name="Accent1 - 20 % 4 3" xfId="2084" xr:uid="{00000000-0005-0000-0000-000052020000}"/>
    <cellStyle name="Accent1 - 20 % 5" xfId="2819" xr:uid="{00000000-0005-0000-0000-000053020000}"/>
    <cellStyle name="Accent1 - 40 %" xfId="43" xr:uid="{00000000-0005-0000-0000-000054020000}"/>
    <cellStyle name="Accent1 - 40 % 2" xfId="44" xr:uid="{00000000-0005-0000-0000-000055020000}"/>
    <cellStyle name="Accent1 - 40 % 2 2" xfId="45" xr:uid="{00000000-0005-0000-0000-000056020000}"/>
    <cellStyle name="Accent1 - 40 % 2 2 2" xfId="2992" xr:uid="{00000000-0005-0000-0000-000057020000}"/>
    <cellStyle name="Accent1 - 40 % 2 3" xfId="1141" xr:uid="{00000000-0005-0000-0000-000058020000}"/>
    <cellStyle name="Accent1 - 40 % 2 4" xfId="2085" xr:uid="{00000000-0005-0000-0000-000059020000}"/>
    <cellStyle name="Accent1 - 40 % 3" xfId="46" xr:uid="{00000000-0005-0000-0000-00005A020000}"/>
    <cellStyle name="Accent1 - 40 % 3 2" xfId="2993" xr:uid="{00000000-0005-0000-0000-00005B020000}"/>
    <cellStyle name="Accent1 - 40 % 3 3" xfId="3924" xr:uid="{00000000-0005-0000-0000-00005C020000}"/>
    <cellStyle name="Accent1 - 40 % 3 4" xfId="3870" xr:uid="{00000000-0005-0000-0000-00005D020000}"/>
    <cellStyle name="Accent1 - 40 % 4" xfId="47" xr:uid="{00000000-0005-0000-0000-00005E020000}"/>
    <cellStyle name="Accent1 - 40 % 4 2" xfId="2730" xr:uid="{00000000-0005-0000-0000-00005F020000}"/>
    <cellStyle name="Accent1 - 40 % 4 3" xfId="4075" xr:uid="{00000000-0005-0000-0000-000060020000}"/>
    <cellStyle name="Accent1 - 40 % 5" xfId="2820" xr:uid="{00000000-0005-0000-0000-000061020000}"/>
    <cellStyle name="Accent1 - 60 %" xfId="48" xr:uid="{00000000-0005-0000-0000-000062020000}"/>
    <cellStyle name="Accent1 - 60 % 2" xfId="49" xr:uid="{00000000-0005-0000-0000-000063020000}"/>
    <cellStyle name="Accent1 - 60 % 2 2" xfId="2994" xr:uid="{00000000-0005-0000-0000-000064020000}"/>
    <cellStyle name="Accent1 - 60 % 2 3" xfId="2995" xr:uid="{00000000-0005-0000-0000-000065020000}"/>
    <cellStyle name="Accent1 - 60 % 2 4" xfId="2869" xr:uid="{00000000-0005-0000-0000-000066020000}"/>
    <cellStyle name="Accent1 - 60 % 2 5" xfId="2822" xr:uid="{00000000-0005-0000-0000-000067020000}"/>
    <cellStyle name="Accent1 - 60 % 3" xfId="50" xr:uid="{00000000-0005-0000-0000-000068020000}"/>
    <cellStyle name="Accent1 - 60 % 3 2" xfId="2996" xr:uid="{00000000-0005-0000-0000-000069020000}"/>
    <cellStyle name="Accent1 - 60 % 3 3" xfId="3925" xr:uid="{00000000-0005-0000-0000-00006A020000}"/>
    <cellStyle name="Accent1 - 60 % 3 4" xfId="3871" xr:uid="{00000000-0005-0000-0000-00006B020000}"/>
    <cellStyle name="Accent1 - 60 % 4" xfId="51" xr:uid="{00000000-0005-0000-0000-00006C020000}"/>
    <cellStyle name="Accent1 - 60 % 5" xfId="2821" xr:uid="{00000000-0005-0000-0000-00006D020000}"/>
    <cellStyle name="Accent1 10" xfId="52" xr:uid="{00000000-0005-0000-0000-00006E020000}"/>
    <cellStyle name="Accent1 11" xfId="53" xr:uid="{00000000-0005-0000-0000-00006F020000}"/>
    <cellStyle name="Accent1 12" xfId="54" xr:uid="{00000000-0005-0000-0000-000070020000}"/>
    <cellStyle name="Accent1 13" xfId="55" xr:uid="{00000000-0005-0000-0000-000071020000}"/>
    <cellStyle name="Accent1 14" xfId="56" xr:uid="{00000000-0005-0000-0000-000072020000}"/>
    <cellStyle name="Accent1 14 2" xfId="2997" xr:uid="{00000000-0005-0000-0000-000073020000}"/>
    <cellStyle name="Accent1 15" xfId="57" xr:uid="{00000000-0005-0000-0000-000074020000}"/>
    <cellStyle name="Accent1 15 2" xfId="2998" xr:uid="{00000000-0005-0000-0000-000075020000}"/>
    <cellStyle name="Accent1 16" xfId="58" xr:uid="{00000000-0005-0000-0000-000076020000}"/>
    <cellStyle name="Accent1 16 2" xfId="2999" xr:uid="{00000000-0005-0000-0000-000077020000}"/>
    <cellStyle name="Accent1 17" xfId="59" xr:uid="{00000000-0005-0000-0000-000078020000}"/>
    <cellStyle name="Accent1 18" xfId="60" xr:uid="{00000000-0005-0000-0000-000079020000}"/>
    <cellStyle name="Accent1 18 2" xfId="3000" xr:uid="{00000000-0005-0000-0000-00007A020000}"/>
    <cellStyle name="Accent1 19" xfId="61" xr:uid="{00000000-0005-0000-0000-00007B020000}"/>
    <cellStyle name="Accent1 19 2" xfId="1142" xr:uid="{00000000-0005-0000-0000-00007C020000}"/>
    <cellStyle name="Accent1 19 2 2" xfId="3001" xr:uid="{00000000-0005-0000-0000-00007D020000}"/>
    <cellStyle name="Accent1 19 3" xfId="2870" xr:uid="{00000000-0005-0000-0000-00007E020000}"/>
    <cellStyle name="Accent1 2" xfId="62" xr:uid="{00000000-0005-0000-0000-00007F020000}"/>
    <cellStyle name="Accent1 2 2" xfId="63" xr:uid="{00000000-0005-0000-0000-000080020000}"/>
    <cellStyle name="Accent1 2 2 2" xfId="1143" xr:uid="{00000000-0005-0000-0000-000081020000}"/>
    <cellStyle name="Accent1 2 2 2 2" xfId="3002" xr:uid="{00000000-0005-0000-0000-000082020000}"/>
    <cellStyle name="Accent1 2 2 2 2 2" xfId="2703" xr:uid="{00000000-0005-0000-0000-000083020000}"/>
    <cellStyle name="Accent1 2 2 2 3" xfId="2169" xr:uid="{00000000-0005-0000-0000-000084020000}"/>
    <cellStyle name="Accent1 2 2 3" xfId="1144" xr:uid="{00000000-0005-0000-0000-000085020000}"/>
    <cellStyle name="Accent1 2 3" xfId="64" xr:uid="{00000000-0005-0000-0000-000086020000}"/>
    <cellStyle name="Accent1 2 3 2" xfId="1145" xr:uid="{00000000-0005-0000-0000-000087020000}"/>
    <cellStyle name="Accent1 2 3 2 2" xfId="3003" xr:uid="{00000000-0005-0000-0000-000088020000}"/>
    <cellStyle name="Accent1 2 3 2 2 2" xfId="2383" xr:uid="{00000000-0005-0000-0000-000089020000}"/>
    <cellStyle name="Accent1 2 3 2 3" xfId="2081" xr:uid="{00000000-0005-0000-0000-00008A020000}"/>
    <cellStyle name="Accent1 2 3 2 3 2" xfId="2248" xr:uid="{00000000-0005-0000-0000-00008B020000}"/>
    <cellStyle name="Accent1 2 3 3" xfId="1146" xr:uid="{00000000-0005-0000-0000-00008C020000}"/>
    <cellStyle name="Accent1 2 4" xfId="1147" xr:uid="{00000000-0005-0000-0000-00008D020000}"/>
    <cellStyle name="Accent1 2 4 2" xfId="1148" xr:uid="{00000000-0005-0000-0000-00008E020000}"/>
    <cellStyle name="Accent1 2 4 2 2" xfId="3004" xr:uid="{00000000-0005-0000-0000-00008F020000}"/>
    <cellStyle name="Accent1 2 4 2 2 2" xfId="2384" xr:uid="{00000000-0005-0000-0000-000090020000}"/>
    <cellStyle name="Accent1 2 4 2 3" xfId="2244" xr:uid="{00000000-0005-0000-0000-000091020000}"/>
    <cellStyle name="Accent1 2 4 2 3 2" xfId="2746" xr:uid="{00000000-0005-0000-0000-000092020000}"/>
    <cellStyle name="Accent1 2 4 3" xfId="1149" xr:uid="{00000000-0005-0000-0000-000093020000}"/>
    <cellStyle name="Accent1 2 5" xfId="1150" xr:uid="{00000000-0005-0000-0000-000094020000}"/>
    <cellStyle name="Accent1 2 5 2" xfId="2633" xr:uid="{00000000-0005-0000-0000-000095020000}"/>
    <cellStyle name="Accent1 2 5 2 2" xfId="3773" xr:uid="{00000000-0005-0000-0000-000096020000}"/>
    <cellStyle name="Accent1 2 5 3" xfId="5650" xr:uid="{00000000-0005-0000-0000-000097020000}"/>
    <cellStyle name="Accent1 2 6" xfId="1151" xr:uid="{00000000-0005-0000-0000-000098020000}"/>
    <cellStyle name="Accent1 2 7" xfId="1152" xr:uid="{00000000-0005-0000-0000-000099020000}"/>
    <cellStyle name="Accent1 2 7 2" xfId="1153" xr:uid="{00000000-0005-0000-0000-00009A020000}"/>
    <cellStyle name="Accent1 2 8" xfId="1154" xr:uid="{00000000-0005-0000-0000-00009B020000}"/>
    <cellStyle name="Accent1 2 8 2" xfId="2223" xr:uid="{00000000-0005-0000-0000-00009C020000}"/>
    <cellStyle name="Accent1 2 9" xfId="1155" xr:uid="{00000000-0005-0000-0000-00009D020000}"/>
    <cellStyle name="Accent1 20" xfId="65" xr:uid="{00000000-0005-0000-0000-00009E020000}"/>
    <cellStyle name="Accent1 20 2" xfId="1156" xr:uid="{00000000-0005-0000-0000-00009F020000}"/>
    <cellStyle name="Accent1 20 2 2" xfId="3005" xr:uid="{00000000-0005-0000-0000-0000A0020000}"/>
    <cellStyle name="Accent1 20 2 3" xfId="2150" xr:uid="{00000000-0005-0000-0000-0000A1020000}"/>
    <cellStyle name="Accent1 20 3" xfId="2170" xr:uid="{00000000-0005-0000-0000-0000A2020000}"/>
    <cellStyle name="Accent1 20 3 2" xfId="2402" xr:uid="{00000000-0005-0000-0000-0000A3020000}"/>
    <cellStyle name="Accent1 21" xfId="1157" xr:uid="{00000000-0005-0000-0000-0000A4020000}"/>
    <cellStyle name="Accent1 21 2" xfId="3006" xr:uid="{00000000-0005-0000-0000-0000A5020000}"/>
    <cellStyle name="Accent1 21 2 2" xfId="2056" xr:uid="{00000000-0005-0000-0000-0000A6020000}"/>
    <cellStyle name="Accent1 21 3" xfId="2145" xr:uid="{00000000-0005-0000-0000-0000A7020000}"/>
    <cellStyle name="Accent1 22" xfId="1139" xr:uid="{00000000-0005-0000-0000-0000A8020000}"/>
    <cellStyle name="Accent1 22 2" xfId="3007" xr:uid="{00000000-0005-0000-0000-0000A9020000}"/>
    <cellStyle name="Accent1 23" xfId="755" xr:uid="{00000000-0005-0000-0000-0000AA020000}"/>
    <cellStyle name="Accent1 23 2" xfId="3008" xr:uid="{00000000-0005-0000-0000-0000AB020000}"/>
    <cellStyle name="Accent1 24" xfId="2114" xr:uid="{00000000-0005-0000-0000-0000AC020000}"/>
    <cellStyle name="Accent1 25" xfId="2010" xr:uid="{00000000-0005-0000-0000-0000AD020000}"/>
    <cellStyle name="Accent1 25 2" xfId="3009" xr:uid="{00000000-0005-0000-0000-0000AE020000}"/>
    <cellStyle name="Accent1 26" xfId="3010" xr:uid="{00000000-0005-0000-0000-0000AF020000}"/>
    <cellStyle name="Accent1 27" xfId="3011" xr:uid="{00000000-0005-0000-0000-0000B0020000}"/>
    <cellStyle name="Accent1 28" xfId="3012" xr:uid="{00000000-0005-0000-0000-0000B1020000}"/>
    <cellStyle name="Accent1 29" xfId="3013" xr:uid="{00000000-0005-0000-0000-0000B2020000}"/>
    <cellStyle name="Accent1 3" xfId="66" xr:uid="{00000000-0005-0000-0000-0000B3020000}"/>
    <cellStyle name="Accent1 3 2" xfId="67" xr:uid="{00000000-0005-0000-0000-0000B4020000}"/>
    <cellStyle name="Accent1 3 2 2" xfId="1158" xr:uid="{00000000-0005-0000-0000-0000B5020000}"/>
    <cellStyle name="Accent1 3 2 2 2" xfId="3014" xr:uid="{00000000-0005-0000-0000-0000B6020000}"/>
    <cellStyle name="Accent1 3 2 3" xfId="1159" xr:uid="{00000000-0005-0000-0000-0000B7020000}"/>
    <cellStyle name="Accent1 3 2 3 2" xfId="2019" xr:uid="{00000000-0005-0000-0000-0000B8020000}"/>
    <cellStyle name="Accent1 3 2 4" xfId="1160" xr:uid="{00000000-0005-0000-0000-0000B9020000}"/>
    <cellStyle name="Accent1 3 3" xfId="1161" xr:uid="{00000000-0005-0000-0000-0000BA020000}"/>
    <cellStyle name="Accent1 3 3 2" xfId="1162" xr:uid="{00000000-0005-0000-0000-0000BB020000}"/>
    <cellStyle name="Accent1 3 3 2 2" xfId="3015" xr:uid="{00000000-0005-0000-0000-0000BC020000}"/>
    <cellStyle name="Accent1 3 3 3" xfId="1163" xr:uid="{00000000-0005-0000-0000-0000BD020000}"/>
    <cellStyle name="Accent1 3 3 3 2" xfId="2080" xr:uid="{00000000-0005-0000-0000-0000BE020000}"/>
    <cellStyle name="Accent1 3 3 4" xfId="1164" xr:uid="{00000000-0005-0000-0000-0000BF020000}"/>
    <cellStyle name="Accent1 3 4" xfId="1165" xr:uid="{00000000-0005-0000-0000-0000C0020000}"/>
    <cellStyle name="Accent1 3 4 2" xfId="2018" xr:uid="{00000000-0005-0000-0000-0000C1020000}"/>
    <cellStyle name="Accent1 3 4 3" xfId="2215" xr:uid="{00000000-0005-0000-0000-0000C2020000}"/>
    <cellStyle name="Accent1 3 4 3 2" xfId="3782" xr:uid="{00000000-0005-0000-0000-0000C3020000}"/>
    <cellStyle name="Accent1 3 5" xfId="1166" xr:uid="{00000000-0005-0000-0000-0000C4020000}"/>
    <cellStyle name="Accent1 30" xfId="3016" xr:uid="{00000000-0005-0000-0000-0000C5020000}"/>
    <cellStyle name="Accent1 31" xfId="3017" xr:uid="{00000000-0005-0000-0000-0000C6020000}"/>
    <cellStyle name="Accent1 32" xfId="3018" xr:uid="{00000000-0005-0000-0000-0000C7020000}"/>
    <cellStyle name="Accent1 33" xfId="3019" xr:uid="{00000000-0005-0000-0000-0000C8020000}"/>
    <cellStyle name="Accent1 34" xfId="3020" xr:uid="{00000000-0005-0000-0000-0000C9020000}"/>
    <cellStyle name="Accent1 35" xfId="3021" xr:uid="{00000000-0005-0000-0000-0000CA020000}"/>
    <cellStyle name="Accent1 36" xfId="3022" xr:uid="{00000000-0005-0000-0000-0000CB020000}"/>
    <cellStyle name="Accent1 37" xfId="3023" xr:uid="{00000000-0005-0000-0000-0000CC020000}"/>
    <cellStyle name="Accent1 38" xfId="3024" xr:uid="{00000000-0005-0000-0000-0000CD020000}"/>
    <cellStyle name="Accent1 39" xfId="3025" xr:uid="{00000000-0005-0000-0000-0000CE020000}"/>
    <cellStyle name="Accent1 4" xfId="68" xr:uid="{00000000-0005-0000-0000-0000CF020000}"/>
    <cellStyle name="Accent1 4 2" xfId="69" xr:uid="{00000000-0005-0000-0000-0000D0020000}"/>
    <cellStyle name="Accent1 4 2 2" xfId="1167" xr:uid="{00000000-0005-0000-0000-0000D1020000}"/>
    <cellStyle name="Accent1 4 2 2 2" xfId="2078" xr:uid="{00000000-0005-0000-0000-0000D2020000}"/>
    <cellStyle name="Accent1 4 2 3" xfId="1168" xr:uid="{00000000-0005-0000-0000-0000D3020000}"/>
    <cellStyle name="Accent1 4 3" xfId="1169" xr:uid="{00000000-0005-0000-0000-0000D4020000}"/>
    <cellStyle name="Accent1 4 4" xfId="1170" xr:uid="{00000000-0005-0000-0000-0000D5020000}"/>
    <cellStyle name="Accent1 4 4 2" xfId="2077" xr:uid="{00000000-0005-0000-0000-0000D6020000}"/>
    <cellStyle name="Accent1 4 4 3" xfId="3926" xr:uid="{00000000-0005-0000-0000-0000D7020000}"/>
    <cellStyle name="Accent1 4 5" xfId="1171" xr:uid="{00000000-0005-0000-0000-0000D8020000}"/>
    <cellStyle name="Accent1 4 5 2" xfId="3872" xr:uid="{00000000-0005-0000-0000-0000D9020000}"/>
    <cellStyle name="Accent1 40" xfId="3026" xr:uid="{00000000-0005-0000-0000-0000DA020000}"/>
    <cellStyle name="Accent1 40 2" xfId="3844" xr:uid="{00000000-0005-0000-0000-0000DB020000}"/>
    <cellStyle name="Accent1 40 2 2" xfId="3658" xr:uid="{00000000-0005-0000-0000-0000DC020000}"/>
    <cellStyle name="Accent1 41" xfId="3027" xr:uid="{00000000-0005-0000-0000-0000DD020000}"/>
    <cellStyle name="Accent1 42" xfId="3554" xr:uid="{00000000-0005-0000-0000-0000DE020000}"/>
    <cellStyle name="Accent1 42 2" xfId="3518" xr:uid="{00000000-0005-0000-0000-0000DF020000}"/>
    <cellStyle name="Accent1 42 3" xfId="4097" xr:uid="{00000000-0005-0000-0000-0000E0020000}"/>
    <cellStyle name="Accent1 43" xfId="3553" xr:uid="{00000000-0005-0000-0000-0000E1020000}"/>
    <cellStyle name="Accent1 43 2" xfId="3328" xr:uid="{00000000-0005-0000-0000-0000E2020000}"/>
    <cellStyle name="Accent1 43 3" xfId="4090" xr:uid="{00000000-0005-0000-0000-0000E3020000}"/>
    <cellStyle name="Accent1 44" xfId="2868" xr:uid="{00000000-0005-0000-0000-0000E4020000}"/>
    <cellStyle name="Accent1 45" xfId="2872" xr:uid="{00000000-0005-0000-0000-0000E5020000}"/>
    <cellStyle name="Accent1 46" xfId="3584" xr:uid="{00000000-0005-0000-0000-0000E6020000}"/>
    <cellStyle name="Accent1 47" xfId="2818" xr:uid="{00000000-0005-0000-0000-0000E7020000}"/>
    <cellStyle name="Accent1 47 2" xfId="4089" xr:uid="{00000000-0005-0000-0000-0000E8020000}"/>
    <cellStyle name="Accent1 48" xfId="2952" xr:uid="{00000000-0005-0000-0000-0000E9020000}"/>
    <cellStyle name="Accent1 48 2" xfId="2009" xr:uid="{00000000-0005-0000-0000-0000EA020000}"/>
    <cellStyle name="Accent1 49" xfId="3596" xr:uid="{00000000-0005-0000-0000-0000EB020000}"/>
    <cellStyle name="Accent1 49 2" xfId="4994" xr:uid="{00000000-0005-0000-0000-0000EC020000}"/>
    <cellStyle name="Accent1 5" xfId="70" xr:uid="{00000000-0005-0000-0000-0000ED020000}"/>
    <cellStyle name="Accent1 5 2" xfId="71" xr:uid="{00000000-0005-0000-0000-0000EE020000}"/>
    <cellStyle name="Accent1 5 2 2" xfId="1172" xr:uid="{00000000-0005-0000-0000-0000EF020000}"/>
    <cellStyle name="Accent1 5 2 2 2" xfId="3028" xr:uid="{00000000-0005-0000-0000-0000F0020000}"/>
    <cellStyle name="Accent1 5 2 2 2 2" xfId="3786" xr:uid="{00000000-0005-0000-0000-0000F1020000}"/>
    <cellStyle name="Accent1 5 2 2 3" xfId="2076" xr:uid="{00000000-0005-0000-0000-0000F2020000}"/>
    <cellStyle name="Accent1 5 2 2 3 2" xfId="3088" xr:uid="{00000000-0005-0000-0000-0000F3020000}"/>
    <cellStyle name="Accent1 5 2 3" xfId="1173" xr:uid="{00000000-0005-0000-0000-0000F4020000}"/>
    <cellStyle name="Accent1 5 3" xfId="1174" xr:uid="{00000000-0005-0000-0000-0000F5020000}"/>
    <cellStyle name="Accent1 5 3 2" xfId="3029" xr:uid="{00000000-0005-0000-0000-0000F6020000}"/>
    <cellStyle name="Accent1 5 4" xfId="1175" xr:uid="{00000000-0005-0000-0000-0000F7020000}"/>
    <cellStyle name="Accent1 5 4 2" xfId="2075" xr:uid="{00000000-0005-0000-0000-0000F8020000}"/>
    <cellStyle name="Accent1 5 5" xfId="1176" xr:uid="{00000000-0005-0000-0000-0000F9020000}"/>
    <cellStyle name="Accent1 50" xfId="3593" xr:uid="{00000000-0005-0000-0000-0000FA020000}"/>
    <cellStyle name="Accent1 50 2" xfId="5042" xr:uid="{00000000-0005-0000-0000-0000FB020000}"/>
    <cellStyle name="Accent1 51" xfId="3592" xr:uid="{00000000-0005-0000-0000-0000FC020000}"/>
    <cellStyle name="Accent1 51 2" xfId="5135" xr:uid="{00000000-0005-0000-0000-0000FD020000}"/>
    <cellStyle name="Accent1 52" xfId="2227" xr:uid="{00000000-0005-0000-0000-0000FE020000}"/>
    <cellStyle name="Accent1 53" xfId="2736" xr:uid="{00000000-0005-0000-0000-0000FF020000}"/>
    <cellStyle name="Accent1 54" xfId="3442" xr:uid="{00000000-0005-0000-0000-000000030000}"/>
    <cellStyle name="Accent1 55" xfId="2566" xr:uid="{00000000-0005-0000-0000-000001030000}"/>
    <cellStyle name="Accent1 56" xfId="2160" xr:uid="{00000000-0005-0000-0000-000002030000}"/>
    <cellStyle name="Accent1 57" xfId="4144" xr:uid="{00000000-0005-0000-0000-000003030000}"/>
    <cellStyle name="Accent1 58" xfId="4981" xr:uid="{00000000-0005-0000-0000-000004030000}"/>
    <cellStyle name="Accent1 59" xfId="4523" xr:uid="{00000000-0005-0000-0000-000005030000}"/>
    <cellStyle name="Accent1 6" xfId="72" xr:uid="{00000000-0005-0000-0000-000006030000}"/>
    <cellStyle name="Accent1 6 2" xfId="770" xr:uid="{00000000-0005-0000-0000-000007030000}"/>
    <cellStyle name="Accent1 6 2 2" xfId="3030" xr:uid="{00000000-0005-0000-0000-000008030000}"/>
    <cellStyle name="Accent1 6 3" xfId="3031" xr:uid="{00000000-0005-0000-0000-000009030000}"/>
    <cellStyle name="Accent1 60" xfId="4932" xr:uid="{00000000-0005-0000-0000-00000A030000}"/>
    <cellStyle name="Accent1 61" xfId="5241" xr:uid="{00000000-0005-0000-0000-00000B030000}"/>
    <cellStyle name="Accent1 62" xfId="5227" xr:uid="{00000000-0005-0000-0000-00000C030000}"/>
    <cellStyle name="Accent1 63" xfId="5451" xr:uid="{00000000-0005-0000-0000-00000D030000}"/>
    <cellStyle name="Accent1 64" xfId="5561" xr:uid="{00000000-0005-0000-0000-00000E030000}"/>
    <cellStyle name="Accent1 65" xfId="5532" xr:uid="{00000000-0005-0000-0000-00000F030000}"/>
    <cellStyle name="Accent1 66" xfId="5629" xr:uid="{00000000-0005-0000-0000-000010030000}"/>
    <cellStyle name="Accent1 67" xfId="5622" xr:uid="{00000000-0005-0000-0000-000011030000}"/>
    <cellStyle name="Accent1 7" xfId="73" xr:uid="{00000000-0005-0000-0000-000012030000}"/>
    <cellStyle name="Accent1 7 2" xfId="2030" xr:uid="{00000000-0005-0000-0000-000013030000}"/>
    <cellStyle name="Accent1 7 2 2" xfId="3032" xr:uid="{00000000-0005-0000-0000-000014030000}"/>
    <cellStyle name="Accent1 7 3" xfId="3033" xr:uid="{00000000-0005-0000-0000-000015030000}"/>
    <cellStyle name="Accent1 8" xfId="74" xr:uid="{00000000-0005-0000-0000-000016030000}"/>
    <cellStyle name="Accent1 8 2" xfId="3034" xr:uid="{00000000-0005-0000-0000-000017030000}"/>
    <cellStyle name="Accent1 8 3" xfId="3035" xr:uid="{00000000-0005-0000-0000-000018030000}"/>
    <cellStyle name="Accent1 9" xfId="75" xr:uid="{00000000-0005-0000-0000-000019030000}"/>
    <cellStyle name="Accent1 9 2" xfId="3036" xr:uid="{00000000-0005-0000-0000-00001A030000}"/>
    <cellStyle name="Accent1 9 3" xfId="3037" xr:uid="{00000000-0005-0000-0000-00001B030000}"/>
    <cellStyle name="Accent2" xfId="76" builtinId="33" customBuiltin="1"/>
    <cellStyle name="Accent2 - 20 %" xfId="77" xr:uid="{00000000-0005-0000-0000-00001D030000}"/>
    <cellStyle name="Accent2 - 20 % 2" xfId="78" xr:uid="{00000000-0005-0000-0000-00001E030000}"/>
    <cellStyle name="Accent2 - 20 % 2 2" xfId="79" xr:uid="{00000000-0005-0000-0000-00001F030000}"/>
    <cellStyle name="Accent2 - 20 % 2 2 2" xfId="3038" xr:uid="{00000000-0005-0000-0000-000020030000}"/>
    <cellStyle name="Accent2 - 20 % 2 3" xfId="1178" xr:uid="{00000000-0005-0000-0000-000021030000}"/>
    <cellStyle name="Accent2 - 20 % 2 4" xfId="2534" xr:uid="{00000000-0005-0000-0000-000022030000}"/>
    <cellStyle name="Accent2 - 20 % 3" xfId="80" xr:uid="{00000000-0005-0000-0000-000023030000}"/>
    <cellStyle name="Accent2 - 20 % 3 2" xfId="3039" xr:uid="{00000000-0005-0000-0000-000024030000}"/>
    <cellStyle name="Accent2 - 20 % 3 3" xfId="3927" xr:uid="{00000000-0005-0000-0000-000025030000}"/>
    <cellStyle name="Accent2 - 20 % 3 4" xfId="3873" xr:uid="{00000000-0005-0000-0000-000026030000}"/>
    <cellStyle name="Accent2 - 20 % 4" xfId="81" xr:uid="{00000000-0005-0000-0000-000027030000}"/>
    <cellStyle name="Accent2 - 20 % 4 2" xfId="2167" xr:uid="{00000000-0005-0000-0000-000028030000}"/>
    <cellStyle name="Accent2 - 20 % 4 3" xfId="3841" xr:uid="{00000000-0005-0000-0000-000029030000}"/>
    <cellStyle name="Accent2 - 20 % 5" xfId="2824" xr:uid="{00000000-0005-0000-0000-00002A030000}"/>
    <cellStyle name="Accent2 - 40 %" xfId="82" xr:uid="{00000000-0005-0000-0000-00002B030000}"/>
    <cellStyle name="Accent2 - 40 % 2" xfId="83" xr:uid="{00000000-0005-0000-0000-00002C030000}"/>
    <cellStyle name="Accent2 - 40 % 2 2" xfId="84" xr:uid="{00000000-0005-0000-0000-00002D030000}"/>
    <cellStyle name="Accent2 - 40 % 2 2 2" xfId="3040" xr:uid="{00000000-0005-0000-0000-00002E030000}"/>
    <cellStyle name="Accent2 - 40 % 2 3" xfId="1179" xr:uid="{00000000-0005-0000-0000-00002F030000}"/>
    <cellStyle name="Accent2 - 40 % 2 4" xfId="2533" xr:uid="{00000000-0005-0000-0000-000030030000}"/>
    <cellStyle name="Accent2 - 40 % 3" xfId="85" xr:uid="{00000000-0005-0000-0000-000031030000}"/>
    <cellStyle name="Accent2 - 40 % 3 2" xfId="3041" xr:uid="{00000000-0005-0000-0000-000032030000}"/>
    <cellStyle name="Accent2 - 40 % 3 3" xfId="3928" xr:uid="{00000000-0005-0000-0000-000033030000}"/>
    <cellStyle name="Accent2 - 40 % 3 4" xfId="3874" xr:uid="{00000000-0005-0000-0000-000034030000}"/>
    <cellStyle name="Accent2 - 40 % 4" xfId="86" xr:uid="{00000000-0005-0000-0000-000035030000}"/>
    <cellStyle name="Accent2 - 40 % 4 2" xfId="3840" xr:uid="{00000000-0005-0000-0000-000036030000}"/>
    <cellStyle name="Accent2 - 40 % 4 3" xfId="2070" xr:uid="{00000000-0005-0000-0000-000037030000}"/>
    <cellStyle name="Accent2 - 40 % 5" xfId="2825" xr:uid="{00000000-0005-0000-0000-000038030000}"/>
    <cellStyle name="Accent2 - 60 %" xfId="87" xr:uid="{00000000-0005-0000-0000-000039030000}"/>
    <cellStyle name="Accent2 - 60 % 2" xfId="88" xr:uid="{00000000-0005-0000-0000-00003A030000}"/>
    <cellStyle name="Accent2 - 60 % 2 2" xfId="3042" xr:uid="{00000000-0005-0000-0000-00003B030000}"/>
    <cellStyle name="Accent2 - 60 % 2 3" xfId="3043" xr:uid="{00000000-0005-0000-0000-00003C030000}"/>
    <cellStyle name="Accent2 - 60 % 2 4" xfId="2873" xr:uid="{00000000-0005-0000-0000-00003D030000}"/>
    <cellStyle name="Accent2 - 60 % 2 5" xfId="2827" xr:uid="{00000000-0005-0000-0000-00003E030000}"/>
    <cellStyle name="Accent2 - 60 % 3" xfId="89" xr:uid="{00000000-0005-0000-0000-00003F030000}"/>
    <cellStyle name="Accent2 - 60 % 3 2" xfId="3044" xr:uid="{00000000-0005-0000-0000-000040030000}"/>
    <cellStyle name="Accent2 - 60 % 3 3" xfId="3929" xr:uid="{00000000-0005-0000-0000-000041030000}"/>
    <cellStyle name="Accent2 - 60 % 3 4" xfId="3875" xr:uid="{00000000-0005-0000-0000-000042030000}"/>
    <cellStyle name="Accent2 - 60 % 4" xfId="90" xr:uid="{00000000-0005-0000-0000-000043030000}"/>
    <cellStyle name="Accent2 - 60 % 5" xfId="2826" xr:uid="{00000000-0005-0000-0000-000044030000}"/>
    <cellStyle name="Accent2 10" xfId="91" xr:uid="{00000000-0005-0000-0000-000045030000}"/>
    <cellStyle name="Accent2 11" xfId="92" xr:uid="{00000000-0005-0000-0000-000046030000}"/>
    <cellStyle name="Accent2 12" xfId="93" xr:uid="{00000000-0005-0000-0000-000047030000}"/>
    <cellStyle name="Accent2 13" xfId="94" xr:uid="{00000000-0005-0000-0000-000048030000}"/>
    <cellStyle name="Accent2 14" xfId="95" xr:uid="{00000000-0005-0000-0000-000049030000}"/>
    <cellStyle name="Accent2 14 2" xfId="3045" xr:uid="{00000000-0005-0000-0000-00004A030000}"/>
    <cellStyle name="Accent2 15" xfId="96" xr:uid="{00000000-0005-0000-0000-00004B030000}"/>
    <cellStyle name="Accent2 15 2" xfId="3046" xr:uid="{00000000-0005-0000-0000-00004C030000}"/>
    <cellStyle name="Accent2 16" xfId="97" xr:uid="{00000000-0005-0000-0000-00004D030000}"/>
    <cellStyle name="Accent2 16 2" xfId="3047" xr:uid="{00000000-0005-0000-0000-00004E030000}"/>
    <cellStyle name="Accent2 17" xfId="98" xr:uid="{00000000-0005-0000-0000-00004F030000}"/>
    <cellStyle name="Accent2 18" xfId="99" xr:uid="{00000000-0005-0000-0000-000050030000}"/>
    <cellStyle name="Accent2 18 2" xfId="3048" xr:uid="{00000000-0005-0000-0000-000051030000}"/>
    <cellStyle name="Accent2 19" xfId="100" xr:uid="{00000000-0005-0000-0000-000052030000}"/>
    <cellStyle name="Accent2 19 2" xfId="1180" xr:uid="{00000000-0005-0000-0000-000053030000}"/>
    <cellStyle name="Accent2 19 2 2" xfId="3049" xr:uid="{00000000-0005-0000-0000-000054030000}"/>
    <cellStyle name="Accent2 19 3" xfId="2874" xr:uid="{00000000-0005-0000-0000-000055030000}"/>
    <cellStyle name="Accent2 2" xfId="101" xr:uid="{00000000-0005-0000-0000-000056030000}"/>
    <cellStyle name="Accent2 2 2" xfId="102" xr:uid="{00000000-0005-0000-0000-000057030000}"/>
    <cellStyle name="Accent2 2 2 2" xfId="1181" xr:uid="{00000000-0005-0000-0000-000058030000}"/>
    <cellStyle name="Accent2 2 2 2 2" xfId="3050" xr:uid="{00000000-0005-0000-0000-000059030000}"/>
    <cellStyle name="Accent2 2 2 2 2 2" xfId="2437" xr:uid="{00000000-0005-0000-0000-00005A030000}"/>
    <cellStyle name="Accent2 2 2 2 3" xfId="2069" xr:uid="{00000000-0005-0000-0000-00005B030000}"/>
    <cellStyle name="Accent2 2 2 3" xfId="1182" xr:uid="{00000000-0005-0000-0000-00005C030000}"/>
    <cellStyle name="Accent2 2 3" xfId="103" xr:uid="{00000000-0005-0000-0000-00005D030000}"/>
    <cellStyle name="Accent2 2 3 2" xfId="1183" xr:uid="{00000000-0005-0000-0000-00005E030000}"/>
    <cellStyle name="Accent2 2 3 2 2" xfId="3051" xr:uid="{00000000-0005-0000-0000-00005F030000}"/>
    <cellStyle name="Accent2 2 3 2 2 2" xfId="2096" xr:uid="{00000000-0005-0000-0000-000060030000}"/>
    <cellStyle name="Accent2 2 3 2 3" xfId="2172" xr:uid="{00000000-0005-0000-0000-000061030000}"/>
    <cellStyle name="Accent2 2 3 2 3 2" xfId="2152" xr:uid="{00000000-0005-0000-0000-000062030000}"/>
    <cellStyle name="Accent2 2 3 3" xfId="1184" xr:uid="{00000000-0005-0000-0000-000063030000}"/>
    <cellStyle name="Accent2 2 4" xfId="1185" xr:uid="{00000000-0005-0000-0000-000064030000}"/>
    <cellStyle name="Accent2 2 4 2" xfId="1186" xr:uid="{00000000-0005-0000-0000-000065030000}"/>
    <cellStyle name="Accent2 2 4 2 2" xfId="3052" xr:uid="{00000000-0005-0000-0000-000066030000}"/>
    <cellStyle name="Accent2 2 4 2 2 2" xfId="2029" xr:uid="{00000000-0005-0000-0000-000067030000}"/>
    <cellStyle name="Accent2 2 4 2 3" xfId="2197" xr:uid="{00000000-0005-0000-0000-000068030000}"/>
    <cellStyle name="Accent2 2 4 2 3 2" xfId="2153" xr:uid="{00000000-0005-0000-0000-000069030000}"/>
    <cellStyle name="Accent2 2 4 3" xfId="1187" xr:uid="{00000000-0005-0000-0000-00006A030000}"/>
    <cellStyle name="Accent2 2 5" xfId="1188" xr:uid="{00000000-0005-0000-0000-00006B030000}"/>
    <cellStyle name="Accent2 2 5 2" xfId="3386" xr:uid="{00000000-0005-0000-0000-00006C030000}"/>
    <cellStyle name="Accent2 2 5 2 2" xfId="2111" xr:uid="{00000000-0005-0000-0000-00006D030000}"/>
    <cellStyle name="Accent2 2 5 3" xfId="5674" xr:uid="{00000000-0005-0000-0000-00006E030000}"/>
    <cellStyle name="Accent2 2 6" xfId="1189" xr:uid="{00000000-0005-0000-0000-00006F030000}"/>
    <cellStyle name="Accent2 2 7" xfId="1190" xr:uid="{00000000-0005-0000-0000-000070030000}"/>
    <cellStyle name="Accent2 2 7 2" xfId="1191" xr:uid="{00000000-0005-0000-0000-000071030000}"/>
    <cellStyle name="Accent2 2 8" xfId="1192" xr:uid="{00000000-0005-0000-0000-000072030000}"/>
    <cellStyle name="Accent2 2 8 2" xfId="2173" xr:uid="{00000000-0005-0000-0000-000073030000}"/>
    <cellStyle name="Accent2 2 9" xfId="1193" xr:uid="{00000000-0005-0000-0000-000074030000}"/>
    <cellStyle name="Accent2 20" xfId="104" xr:uid="{00000000-0005-0000-0000-000075030000}"/>
    <cellStyle name="Accent2 20 2" xfId="1194" xr:uid="{00000000-0005-0000-0000-000076030000}"/>
    <cellStyle name="Accent2 20 2 2" xfId="3053" xr:uid="{00000000-0005-0000-0000-000077030000}"/>
    <cellStyle name="Accent2 20 2 3" xfId="4142" xr:uid="{00000000-0005-0000-0000-000078030000}"/>
    <cellStyle name="Accent2 20 3" xfId="2065" xr:uid="{00000000-0005-0000-0000-000079030000}"/>
    <cellStyle name="Accent2 20 3 2" xfId="2438" xr:uid="{00000000-0005-0000-0000-00007A030000}"/>
    <cellStyle name="Accent2 21" xfId="1195" xr:uid="{00000000-0005-0000-0000-00007B030000}"/>
    <cellStyle name="Accent2 21 2" xfId="3054" xr:uid="{00000000-0005-0000-0000-00007C030000}"/>
    <cellStyle name="Accent2 21 2 2" xfId="2110" xr:uid="{00000000-0005-0000-0000-00007D030000}"/>
    <cellStyle name="Accent2 21 3" xfId="2243" xr:uid="{00000000-0005-0000-0000-00007E030000}"/>
    <cellStyle name="Accent2 22" xfId="1177" xr:uid="{00000000-0005-0000-0000-00007F030000}"/>
    <cellStyle name="Accent2 22 2" xfId="3055" xr:uid="{00000000-0005-0000-0000-000080030000}"/>
    <cellStyle name="Accent2 23" xfId="756" xr:uid="{00000000-0005-0000-0000-000081030000}"/>
    <cellStyle name="Accent2 23 2" xfId="3056" xr:uid="{00000000-0005-0000-0000-000082030000}"/>
    <cellStyle name="Accent2 24" xfId="2107" xr:uid="{00000000-0005-0000-0000-000083030000}"/>
    <cellStyle name="Accent2 25" xfId="2015" xr:uid="{00000000-0005-0000-0000-000084030000}"/>
    <cellStyle name="Accent2 25 2" xfId="3057" xr:uid="{00000000-0005-0000-0000-000085030000}"/>
    <cellStyle name="Accent2 26" xfId="3058" xr:uid="{00000000-0005-0000-0000-000086030000}"/>
    <cellStyle name="Accent2 27" xfId="3059" xr:uid="{00000000-0005-0000-0000-000087030000}"/>
    <cellStyle name="Accent2 28" xfId="3060" xr:uid="{00000000-0005-0000-0000-000088030000}"/>
    <cellStyle name="Accent2 29" xfId="3061" xr:uid="{00000000-0005-0000-0000-000089030000}"/>
    <cellStyle name="Accent2 3" xfId="105" xr:uid="{00000000-0005-0000-0000-00008A030000}"/>
    <cellStyle name="Accent2 3 2" xfId="106" xr:uid="{00000000-0005-0000-0000-00008B030000}"/>
    <cellStyle name="Accent2 3 2 2" xfId="1196" xr:uid="{00000000-0005-0000-0000-00008C030000}"/>
    <cellStyle name="Accent2 3 2 2 2" xfId="3062" xr:uid="{00000000-0005-0000-0000-00008D030000}"/>
    <cellStyle name="Accent2 3 2 3" xfId="1197" xr:uid="{00000000-0005-0000-0000-00008E030000}"/>
    <cellStyle name="Accent2 3 2 3 2" xfId="2231" xr:uid="{00000000-0005-0000-0000-00008F030000}"/>
    <cellStyle name="Accent2 3 2 4" xfId="1198" xr:uid="{00000000-0005-0000-0000-000090030000}"/>
    <cellStyle name="Accent2 3 3" xfId="1199" xr:uid="{00000000-0005-0000-0000-000091030000}"/>
    <cellStyle name="Accent2 3 3 2" xfId="1200" xr:uid="{00000000-0005-0000-0000-000092030000}"/>
    <cellStyle name="Accent2 3 3 2 2" xfId="3063" xr:uid="{00000000-0005-0000-0000-000093030000}"/>
    <cellStyle name="Accent2 3 3 3" xfId="1201" xr:uid="{00000000-0005-0000-0000-000094030000}"/>
    <cellStyle name="Accent2 3 3 3 2" xfId="2175" xr:uid="{00000000-0005-0000-0000-000095030000}"/>
    <cellStyle name="Accent2 3 3 4" xfId="1202" xr:uid="{00000000-0005-0000-0000-000096030000}"/>
    <cellStyle name="Accent2 3 4" xfId="1203" xr:uid="{00000000-0005-0000-0000-000097030000}"/>
    <cellStyle name="Accent2 3 4 2" xfId="2120" xr:uid="{00000000-0005-0000-0000-000098030000}"/>
    <cellStyle name="Accent2 3 4 3" xfId="3621" xr:uid="{00000000-0005-0000-0000-000099030000}"/>
    <cellStyle name="Accent2 3 4 3 2" xfId="2440" xr:uid="{00000000-0005-0000-0000-00009A030000}"/>
    <cellStyle name="Accent2 3 5" xfId="1204" xr:uid="{00000000-0005-0000-0000-00009B030000}"/>
    <cellStyle name="Accent2 30" xfId="3064" xr:uid="{00000000-0005-0000-0000-00009C030000}"/>
    <cellStyle name="Accent2 31" xfId="3065" xr:uid="{00000000-0005-0000-0000-00009D030000}"/>
    <cellStyle name="Accent2 32" xfId="3066" xr:uid="{00000000-0005-0000-0000-00009E030000}"/>
    <cellStyle name="Accent2 33" xfId="3067" xr:uid="{00000000-0005-0000-0000-00009F030000}"/>
    <cellStyle name="Accent2 34" xfId="3068" xr:uid="{00000000-0005-0000-0000-0000A0030000}"/>
    <cellStyle name="Accent2 35" xfId="3069" xr:uid="{00000000-0005-0000-0000-0000A1030000}"/>
    <cellStyle name="Accent2 36" xfId="3070" xr:uid="{00000000-0005-0000-0000-0000A2030000}"/>
    <cellStyle name="Accent2 37" xfId="3071" xr:uid="{00000000-0005-0000-0000-0000A3030000}"/>
    <cellStyle name="Accent2 38" xfId="3072" xr:uid="{00000000-0005-0000-0000-0000A4030000}"/>
    <cellStyle name="Accent2 39" xfId="3073" xr:uid="{00000000-0005-0000-0000-0000A5030000}"/>
    <cellStyle name="Accent2 4" xfId="107" xr:uid="{00000000-0005-0000-0000-0000A6030000}"/>
    <cellStyle name="Accent2 4 2" xfId="108" xr:uid="{00000000-0005-0000-0000-0000A7030000}"/>
    <cellStyle name="Accent2 4 2 2" xfId="1205" xr:uid="{00000000-0005-0000-0000-0000A8030000}"/>
    <cellStyle name="Accent2 4 2 2 2" xfId="2064" xr:uid="{00000000-0005-0000-0000-0000A9030000}"/>
    <cellStyle name="Accent2 4 2 3" xfId="1206" xr:uid="{00000000-0005-0000-0000-0000AA030000}"/>
    <cellStyle name="Accent2 4 3" xfId="1207" xr:uid="{00000000-0005-0000-0000-0000AB030000}"/>
    <cellStyle name="Accent2 4 4" xfId="1208" xr:uid="{00000000-0005-0000-0000-0000AC030000}"/>
    <cellStyle name="Accent2 4 4 2" xfId="2062" xr:uid="{00000000-0005-0000-0000-0000AD030000}"/>
    <cellStyle name="Accent2 4 4 3" xfId="3930" xr:uid="{00000000-0005-0000-0000-0000AE030000}"/>
    <cellStyle name="Accent2 4 5" xfId="1209" xr:uid="{00000000-0005-0000-0000-0000AF030000}"/>
    <cellStyle name="Accent2 4 5 2" xfId="3876" xr:uid="{00000000-0005-0000-0000-0000B0030000}"/>
    <cellStyle name="Accent2 40" xfId="3074" xr:uid="{00000000-0005-0000-0000-0000B1030000}"/>
    <cellStyle name="Accent2 40 2" xfId="3835" xr:uid="{00000000-0005-0000-0000-0000B2030000}"/>
    <cellStyle name="Accent2 40 2 2" xfId="2067" xr:uid="{00000000-0005-0000-0000-0000B3030000}"/>
    <cellStyle name="Accent2 41" xfId="3075" xr:uid="{00000000-0005-0000-0000-0000B4030000}"/>
    <cellStyle name="Accent2 42" xfId="3555" xr:uid="{00000000-0005-0000-0000-0000B5030000}"/>
    <cellStyle name="Accent2 42 2" xfId="2444" xr:uid="{00000000-0005-0000-0000-0000B6030000}"/>
    <cellStyle name="Accent2 42 3" xfId="4098" xr:uid="{00000000-0005-0000-0000-0000B7030000}"/>
    <cellStyle name="Accent2 43" xfId="3552" xr:uid="{00000000-0005-0000-0000-0000B8030000}"/>
    <cellStyle name="Accent2 43 2" xfId="3513" xr:uid="{00000000-0005-0000-0000-0000B9030000}"/>
    <cellStyle name="Accent2 43 3" xfId="4146" xr:uid="{00000000-0005-0000-0000-0000BA030000}"/>
    <cellStyle name="Accent2 44" xfId="2871" xr:uid="{00000000-0005-0000-0000-0000BB030000}"/>
    <cellStyle name="Accent2 45" xfId="3577" xr:uid="{00000000-0005-0000-0000-0000BC030000}"/>
    <cellStyle name="Accent2 46" xfId="3587" xr:uid="{00000000-0005-0000-0000-0000BD030000}"/>
    <cellStyle name="Accent2 47" xfId="2823" xr:uid="{00000000-0005-0000-0000-0000BE030000}"/>
    <cellStyle name="Accent2 47 2" xfId="4084" xr:uid="{00000000-0005-0000-0000-0000BF030000}"/>
    <cellStyle name="Accent2 48" xfId="2866" xr:uid="{00000000-0005-0000-0000-0000C0030000}"/>
    <cellStyle name="Accent2 48 2" xfId="2711" xr:uid="{00000000-0005-0000-0000-0000C1030000}"/>
    <cellStyle name="Accent2 49" xfId="3590" xr:uid="{00000000-0005-0000-0000-0000C2030000}"/>
    <cellStyle name="Accent2 49 2" xfId="4995" xr:uid="{00000000-0005-0000-0000-0000C3030000}"/>
    <cellStyle name="Accent2 5" xfId="109" xr:uid="{00000000-0005-0000-0000-0000C4030000}"/>
    <cellStyle name="Accent2 5 2" xfId="110" xr:uid="{00000000-0005-0000-0000-0000C5030000}"/>
    <cellStyle name="Accent2 5 2 2" xfId="1210" xr:uid="{00000000-0005-0000-0000-0000C6030000}"/>
    <cellStyle name="Accent2 5 2 2 2" xfId="3076" xr:uid="{00000000-0005-0000-0000-0000C7030000}"/>
    <cellStyle name="Accent2 5 2 2 2 2" xfId="3305" xr:uid="{00000000-0005-0000-0000-0000C8030000}"/>
    <cellStyle name="Accent2 5 2 2 3" xfId="2013" xr:uid="{00000000-0005-0000-0000-0000C9030000}"/>
    <cellStyle name="Accent2 5 2 2 3 2" xfId="2182" xr:uid="{00000000-0005-0000-0000-0000CA030000}"/>
    <cellStyle name="Accent2 5 2 3" xfId="1211" xr:uid="{00000000-0005-0000-0000-0000CB030000}"/>
    <cellStyle name="Accent2 5 3" xfId="1212" xr:uid="{00000000-0005-0000-0000-0000CC030000}"/>
    <cellStyle name="Accent2 5 3 2" xfId="3077" xr:uid="{00000000-0005-0000-0000-0000CD030000}"/>
    <cellStyle name="Accent2 5 4" xfId="1213" xr:uid="{00000000-0005-0000-0000-0000CE030000}"/>
    <cellStyle name="Accent2 5 4 2" xfId="2174" xr:uid="{00000000-0005-0000-0000-0000CF030000}"/>
    <cellStyle name="Accent2 5 5" xfId="1214" xr:uid="{00000000-0005-0000-0000-0000D0030000}"/>
    <cellStyle name="Accent2 50" xfId="2953" xr:uid="{00000000-0005-0000-0000-0000D1030000}"/>
    <cellStyle name="Accent2 50 2" xfId="5041" xr:uid="{00000000-0005-0000-0000-0000D2030000}"/>
    <cellStyle name="Accent2 51" xfId="3597" xr:uid="{00000000-0005-0000-0000-0000D3030000}"/>
    <cellStyle name="Accent2 51 2" xfId="5052" xr:uid="{00000000-0005-0000-0000-0000D4030000}"/>
    <cellStyle name="Accent2 52" xfId="2171" xr:uid="{00000000-0005-0000-0000-0000D5030000}"/>
    <cellStyle name="Accent2 53" xfId="2728" xr:uid="{00000000-0005-0000-0000-0000D6030000}"/>
    <cellStyle name="Accent2 54" xfId="3449" xr:uid="{00000000-0005-0000-0000-0000D7030000}"/>
    <cellStyle name="Accent2 55" xfId="2136" xr:uid="{00000000-0005-0000-0000-0000D8030000}"/>
    <cellStyle name="Accent2 56" xfId="3790" xr:uid="{00000000-0005-0000-0000-0000D9030000}"/>
    <cellStyle name="Accent2 57" xfId="4140" xr:uid="{00000000-0005-0000-0000-0000DA030000}"/>
    <cellStyle name="Accent2 58" xfId="4931" xr:uid="{00000000-0005-0000-0000-0000DB030000}"/>
    <cellStyle name="Accent2 59" xfId="4183" xr:uid="{00000000-0005-0000-0000-0000DC030000}"/>
    <cellStyle name="Accent2 6" xfId="111" xr:uid="{00000000-0005-0000-0000-0000DD030000}"/>
    <cellStyle name="Accent2 6 2" xfId="769" xr:uid="{00000000-0005-0000-0000-0000DE030000}"/>
    <cellStyle name="Accent2 6 2 2" xfId="3078" xr:uid="{00000000-0005-0000-0000-0000DF030000}"/>
    <cellStyle name="Accent2 6 3" xfId="3079" xr:uid="{00000000-0005-0000-0000-0000E0030000}"/>
    <cellStyle name="Accent2 60" xfId="4126" xr:uid="{00000000-0005-0000-0000-0000E1030000}"/>
    <cellStyle name="Accent2 61" xfId="5235" xr:uid="{00000000-0005-0000-0000-0000E2030000}"/>
    <cellStyle name="Accent2 62" xfId="5405" xr:uid="{00000000-0005-0000-0000-0000E3030000}"/>
    <cellStyle name="Accent2 63" xfId="5450" xr:uid="{00000000-0005-0000-0000-0000E4030000}"/>
    <cellStyle name="Accent2 64" xfId="5560" xr:uid="{00000000-0005-0000-0000-0000E5030000}"/>
    <cellStyle name="Accent2 65" xfId="5533" xr:uid="{00000000-0005-0000-0000-0000E6030000}"/>
    <cellStyle name="Accent2 66" xfId="5628" xr:uid="{00000000-0005-0000-0000-0000E7030000}"/>
    <cellStyle name="Accent2 67" xfId="5583" xr:uid="{00000000-0005-0000-0000-0000E8030000}"/>
    <cellStyle name="Accent2 7" xfId="112" xr:uid="{00000000-0005-0000-0000-0000E9030000}"/>
    <cellStyle name="Accent2 7 2" xfId="2038" xr:uid="{00000000-0005-0000-0000-0000EA030000}"/>
    <cellStyle name="Accent2 7 2 2" xfId="3080" xr:uid="{00000000-0005-0000-0000-0000EB030000}"/>
    <cellStyle name="Accent2 7 3" xfId="3081" xr:uid="{00000000-0005-0000-0000-0000EC030000}"/>
    <cellStyle name="Accent2 8" xfId="113" xr:uid="{00000000-0005-0000-0000-0000ED030000}"/>
    <cellStyle name="Accent2 8 2" xfId="3082" xr:uid="{00000000-0005-0000-0000-0000EE030000}"/>
    <cellStyle name="Accent2 8 3" xfId="3083" xr:uid="{00000000-0005-0000-0000-0000EF030000}"/>
    <cellStyle name="Accent2 9" xfId="114" xr:uid="{00000000-0005-0000-0000-0000F0030000}"/>
    <cellStyle name="Accent2 9 2" xfId="3084" xr:uid="{00000000-0005-0000-0000-0000F1030000}"/>
    <cellStyle name="Accent2 9 3" xfId="3085" xr:uid="{00000000-0005-0000-0000-0000F2030000}"/>
    <cellStyle name="Accent3" xfId="115" builtinId="37" customBuiltin="1"/>
    <cellStyle name="Accent3 - 20 %" xfId="116" xr:uid="{00000000-0005-0000-0000-0000F4030000}"/>
    <cellStyle name="Accent3 - 20 % 2" xfId="117" xr:uid="{00000000-0005-0000-0000-0000F5030000}"/>
    <cellStyle name="Accent3 - 20 % 2 2" xfId="118" xr:uid="{00000000-0005-0000-0000-0000F6030000}"/>
    <cellStyle name="Accent3 - 20 % 2 2 2" xfId="3086" xr:uid="{00000000-0005-0000-0000-0000F7030000}"/>
    <cellStyle name="Accent3 - 20 % 2 3" xfId="1216" xr:uid="{00000000-0005-0000-0000-0000F8030000}"/>
    <cellStyle name="Accent3 - 20 % 2 4" xfId="3826" xr:uid="{00000000-0005-0000-0000-0000F9030000}"/>
    <cellStyle name="Accent3 - 20 % 3" xfId="119" xr:uid="{00000000-0005-0000-0000-0000FA030000}"/>
    <cellStyle name="Accent3 - 20 % 3 2" xfId="3087" xr:uid="{00000000-0005-0000-0000-0000FB030000}"/>
    <cellStyle name="Accent3 - 20 % 3 3" xfId="3931" xr:uid="{00000000-0005-0000-0000-0000FC030000}"/>
    <cellStyle name="Accent3 - 20 % 3 4" xfId="3877" xr:uid="{00000000-0005-0000-0000-0000FD030000}"/>
    <cellStyle name="Accent3 - 20 % 4" xfId="120" xr:uid="{00000000-0005-0000-0000-0000FE030000}"/>
    <cellStyle name="Accent3 - 20 % 4 2" xfId="3830" xr:uid="{00000000-0005-0000-0000-0000FF030000}"/>
    <cellStyle name="Accent3 - 20 % 4 3" xfId="3757" xr:uid="{00000000-0005-0000-0000-000000040000}"/>
    <cellStyle name="Accent3 - 20 % 5" xfId="2829" xr:uid="{00000000-0005-0000-0000-000001040000}"/>
    <cellStyle name="Accent3 - 40 %" xfId="121" xr:uid="{00000000-0005-0000-0000-000002040000}"/>
    <cellStyle name="Accent3 - 40 % 2" xfId="122" xr:uid="{00000000-0005-0000-0000-000003040000}"/>
    <cellStyle name="Accent3 - 40 % 2 2" xfId="123" xr:uid="{00000000-0005-0000-0000-000004040000}"/>
    <cellStyle name="Accent3 - 40 % 2 2 2" xfId="3089" xr:uid="{00000000-0005-0000-0000-000005040000}"/>
    <cellStyle name="Accent3 - 40 % 2 3" xfId="1217" xr:uid="{00000000-0005-0000-0000-000006040000}"/>
    <cellStyle name="Accent3 - 40 % 2 4" xfId="3829" xr:uid="{00000000-0005-0000-0000-000007040000}"/>
    <cellStyle name="Accent3 - 40 % 3" xfId="124" xr:uid="{00000000-0005-0000-0000-000008040000}"/>
    <cellStyle name="Accent3 - 40 % 3 2" xfId="3090" xr:uid="{00000000-0005-0000-0000-000009040000}"/>
    <cellStyle name="Accent3 - 40 % 3 3" xfId="3932" xr:uid="{00000000-0005-0000-0000-00000A040000}"/>
    <cellStyle name="Accent3 - 40 % 3 4" xfId="3878" xr:uid="{00000000-0005-0000-0000-00000B040000}"/>
    <cellStyle name="Accent3 - 40 % 4" xfId="125" xr:uid="{00000000-0005-0000-0000-00000C040000}"/>
    <cellStyle name="Accent3 - 40 % 4 2" xfId="3828" xr:uid="{00000000-0005-0000-0000-00000D040000}"/>
    <cellStyle name="Accent3 - 40 % 4 3" xfId="3827" xr:uid="{00000000-0005-0000-0000-00000E040000}"/>
    <cellStyle name="Accent3 - 40 % 5" xfId="2830" xr:uid="{00000000-0005-0000-0000-00000F040000}"/>
    <cellStyle name="Accent3 - 60 %" xfId="126" xr:uid="{00000000-0005-0000-0000-000010040000}"/>
    <cellStyle name="Accent3 - 60 % 2" xfId="127" xr:uid="{00000000-0005-0000-0000-000011040000}"/>
    <cellStyle name="Accent3 - 60 % 2 2" xfId="3091" xr:uid="{00000000-0005-0000-0000-000012040000}"/>
    <cellStyle name="Accent3 - 60 % 2 3" xfId="3092" xr:uid="{00000000-0005-0000-0000-000013040000}"/>
    <cellStyle name="Accent3 - 60 % 2 4" xfId="2877" xr:uid="{00000000-0005-0000-0000-000014040000}"/>
    <cellStyle name="Accent3 - 60 % 2 5" xfId="2832" xr:uid="{00000000-0005-0000-0000-000015040000}"/>
    <cellStyle name="Accent3 - 60 % 3" xfId="128" xr:uid="{00000000-0005-0000-0000-000016040000}"/>
    <cellStyle name="Accent3 - 60 % 3 2" xfId="3093" xr:uid="{00000000-0005-0000-0000-000017040000}"/>
    <cellStyle name="Accent3 - 60 % 3 3" xfId="3933" xr:uid="{00000000-0005-0000-0000-000018040000}"/>
    <cellStyle name="Accent3 - 60 % 3 4" xfId="3879" xr:uid="{00000000-0005-0000-0000-000019040000}"/>
    <cellStyle name="Accent3 - 60 % 4" xfId="129" xr:uid="{00000000-0005-0000-0000-00001A040000}"/>
    <cellStyle name="Accent3 - 60 % 5" xfId="2831" xr:uid="{00000000-0005-0000-0000-00001B040000}"/>
    <cellStyle name="Accent3 10" xfId="130" xr:uid="{00000000-0005-0000-0000-00001C040000}"/>
    <cellStyle name="Accent3 11" xfId="131" xr:uid="{00000000-0005-0000-0000-00001D040000}"/>
    <cellStyle name="Accent3 12" xfId="132" xr:uid="{00000000-0005-0000-0000-00001E040000}"/>
    <cellStyle name="Accent3 13" xfId="133" xr:uid="{00000000-0005-0000-0000-00001F040000}"/>
    <cellStyle name="Accent3 14" xfId="134" xr:uid="{00000000-0005-0000-0000-000020040000}"/>
    <cellStyle name="Accent3 14 2" xfId="3095" xr:uid="{00000000-0005-0000-0000-000021040000}"/>
    <cellStyle name="Accent3 15" xfId="135" xr:uid="{00000000-0005-0000-0000-000022040000}"/>
    <cellStyle name="Accent3 15 2" xfId="3096" xr:uid="{00000000-0005-0000-0000-000023040000}"/>
    <cellStyle name="Accent3 16" xfId="136" xr:uid="{00000000-0005-0000-0000-000024040000}"/>
    <cellStyle name="Accent3 16 2" xfId="3097" xr:uid="{00000000-0005-0000-0000-000025040000}"/>
    <cellStyle name="Accent3 17" xfId="137" xr:uid="{00000000-0005-0000-0000-000026040000}"/>
    <cellStyle name="Accent3 18" xfId="138" xr:uid="{00000000-0005-0000-0000-000027040000}"/>
    <cellStyle name="Accent3 18 2" xfId="3098" xr:uid="{00000000-0005-0000-0000-000028040000}"/>
    <cellStyle name="Accent3 19" xfId="139" xr:uid="{00000000-0005-0000-0000-000029040000}"/>
    <cellStyle name="Accent3 19 2" xfId="1218" xr:uid="{00000000-0005-0000-0000-00002A040000}"/>
    <cellStyle name="Accent3 19 2 2" xfId="3099" xr:uid="{00000000-0005-0000-0000-00002B040000}"/>
    <cellStyle name="Accent3 19 3" xfId="2878" xr:uid="{00000000-0005-0000-0000-00002C040000}"/>
    <cellStyle name="Accent3 2" xfId="140" xr:uid="{00000000-0005-0000-0000-00002D040000}"/>
    <cellStyle name="Accent3 2 2" xfId="141" xr:uid="{00000000-0005-0000-0000-00002E040000}"/>
    <cellStyle name="Accent3 2 2 2" xfId="1219" xr:uid="{00000000-0005-0000-0000-00002F040000}"/>
    <cellStyle name="Accent3 2 2 2 2" xfId="3100" xr:uid="{00000000-0005-0000-0000-000030040000}"/>
    <cellStyle name="Accent3 2 2 2 2 2" xfId="2105" xr:uid="{00000000-0005-0000-0000-000031040000}"/>
    <cellStyle name="Accent3 2 2 2 3" xfId="2189" xr:uid="{00000000-0005-0000-0000-000032040000}"/>
    <cellStyle name="Accent3 2 2 3" xfId="1220" xr:uid="{00000000-0005-0000-0000-000033040000}"/>
    <cellStyle name="Accent3 2 3" xfId="142" xr:uid="{00000000-0005-0000-0000-000034040000}"/>
    <cellStyle name="Accent3 2 3 2" xfId="1221" xr:uid="{00000000-0005-0000-0000-000035040000}"/>
    <cellStyle name="Accent3 2 3 2 2" xfId="3101" xr:uid="{00000000-0005-0000-0000-000036040000}"/>
    <cellStyle name="Accent3 2 3 2 2 2" xfId="4181" xr:uid="{00000000-0005-0000-0000-000037040000}"/>
    <cellStyle name="Accent3 2 3 2 3" xfId="2190" xr:uid="{00000000-0005-0000-0000-000038040000}"/>
    <cellStyle name="Accent3 2 3 2 3 2" xfId="2482" xr:uid="{00000000-0005-0000-0000-000039040000}"/>
    <cellStyle name="Accent3 2 3 3" xfId="1222" xr:uid="{00000000-0005-0000-0000-00003A040000}"/>
    <cellStyle name="Accent3 2 4" xfId="1223" xr:uid="{00000000-0005-0000-0000-00003B040000}"/>
    <cellStyle name="Accent3 2 4 2" xfId="1224" xr:uid="{00000000-0005-0000-0000-00003C040000}"/>
    <cellStyle name="Accent3 2 4 2 2" xfId="3102" xr:uid="{00000000-0005-0000-0000-00003D040000}"/>
    <cellStyle name="Accent3 2 4 2 2 2" xfId="2156" xr:uid="{00000000-0005-0000-0000-00003E040000}"/>
    <cellStyle name="Accent3 2 4 2 3" xfId="2192" xr:uid="{00000000-0005-0000-0000-00003F040000}"/>
    <cellStyle name="Accent3 2 4 2 3 2" xfId="2106" xr:uid="{00000000-0005-0000-0000-000040040000}"/>
    <cellStyle name="Accent3 2 4 3" xfId="1225" xr:uid="{00000000-0005-0000-0000-000041040000}"/>
    <cellStyle name="Accent3 2 5" xfId="1226" xr:uid="{00000000-0005-0000-0000-000042040000}"/>
    <cellStyle name="Accent3 2 5 2" xfId="2264" xr:uid="{00000000-0005-0000-0000-000043040000}"/>
    <cellStyle name="Accent3 2 5 2 2" xfId="3741" xr:uid="{00000000-0005-0000-0000-000044040000}"/>
    <cellStyle name="Accent3 2 5 3" xfId="5705" xr:uid="{00000000-0005-0000-0000-000045040000}"/>
    <cellStyle name="Accent3 2 6" xfId="1227" xr:uid="{00000000-0005-0000-0000-000046040000}"/>
    <cellStyle name="Accent3 2 7" xfId="1228" xr:uid="{00000000-0005-0000-0000-000047040000}"/>
    <cellStyle name="Accent3 2 7 2" xfId="1229" xr:uid="{00000000-0005-0000-0000-000048040000}"/>
    <cellStyle name="Accent3 2 8" xfId="1230" xr:uid="{00000000-0005-0000-0000-000049040000}"/>
    <cellStyle name="Accent3 2 8 2" xfId="2268" xr:uid="{00000000-0005-0000-0000-00004A040000}"/>
    <cellStyle name="Accent3 2 9" xfId="1231" xr:uid="{00000000-0005-0000-0000-00004B040000}"/>
    <cellStyle name="Accent3 20" xfId="143" xr:uid="{00000000-0005-0000-0000-00004C040000}"/>
    <cellStyle name="Accent3 20 2" xfId="1232" xr:uid="{00000000-0005-0000-0000-00004D040000}"/>
    <cellStyle name="Accent3 20 2 2" xfId="3103" xr:uid="{00000000-0005-0000-0000-00004E040000}"/>
    <cellStyle name="Accent3 20 2 3" xfId="2158" xr:uid="{00000000-0005-0000-0000-00004F040000}"/>
    <cellStyle name="Accent3 20 3" xfId="2269" xr:uid="{00000000-0005-0000-0000-000050040000}"/>
    <cellStyle name="Accent3 20 3 2" xfId="3821" xr:uid="{00000000-0005-0000-0000-000051040000}"/>
    <cellStyle name="Accent3 21" xfId="1233" xr:uid="{00000000-0005-0000-0000-000052040000}"/>
    <cellStyle name="Accent3 21 2" xfId="3104" xr:uid="{00000000-0005-0000-0000-000053040000}"/>
    <cellStyle name="Accent3 21 2 2" xfId="2483" xr:uid="{00000000-0005-0000-0000-000054040000}"/>
    <cellStyle name="Accent3 21 3" xfId="2270" xr:uid="{00000000-0005-0000-0000-000055040000}"/>
    <cellStyle name="Accent3 22" xfId="1215" xr:uid="{00000000-0005-0000-0000-000056040000}"/>
    <cellStyle name="Accent3 22 2" xfId="3105" xr:uid="{00000000-0005-0000-0000-000057040000}"/>
    <cellStyle name="Accent3 23" xfId="757" xr:uid="{00000000-0005-0000-0000-000058040000}"/>
    <cellStyle name="Accent3 23 2" xfId="3106" xr:uid="{00000000-0005-0000-0000-000059040000}"/>
    <cellStyle name="Accent3 24" xfId="2099" xr:uid="{00000000-0005-0000-0000-00005A040000}"/>
    <cellStyle name="Accent3 25" xfId="2017" xr:uid="{00000000-0005-0000-0000-00005B040000}"/>
    <cellStyle name="Accent3 25 2" xfId="3108" xr:uid="{00000000-0005-0000-0000-00005C040000}"/>
    <cellStyle name="Accent3 26" xfId="3109" xr:uid="{00000000-0005-0000-0000-00005D040000}"/>
    <cellStyle name="Accent3 27" xfId="3110" xr:uid="{00000000-0005-0000-0000-00005E040000}"/>
    <cellStyle name="Accent3 28" xfId="3111" xr:uid="{00000000-0005-0000-0000-00005F040000}"/>
    <cellStyle name="Accent3 29" xfId="3112" xr:uid="{00000000-0005-0000-0000-000060040000}"/>
    <cellStyle name="Accent3 3" xfId="144" xr:uid="{00000000-0005-0000-0000-000061040000}"/>
    <cellStyle name="Accent3 3 2" xfId="145" xr:uid="{00000000-0005-0000-0000-000062040000}"/>
    <cellStyle name="Accent3 3 2 2" xfId="1234" xr:uid="{00000000-0005-0000-0000-000063040000}"/>
    <cellStyle name="Accent3 3 2 2 2" xfId="3113" xr:uid="{00000000-0005-0000-0000-000064040000}"/>
    <cellStyle name="Accent3 3 2 3" xfId="1235" xr:uid="{00000000-0005-0000-0000-000065040000}"/>
    <cellStyle name="Accent3 3 2 3 2" xfId="2271" xr:uid="{00000000-0005-0000-0000-000066040000}"/>
    <cellStyle name="Accent3 3 2 4" xfId="1236" xr:uid="{00000000-0005-0000-0000-000067040000}"/>
    <cellStyle name="Accent3 3 3" xfId="1237" xr:uid="{00000000-0005-0000-0000-000068040000}"/>
    <cellStyle name="Accent3 3 3 2" xfId="1238" xr:uid="{00000000-0005-0000-0000-000069040000}"/>
    <cellStyle name="Accent3 3 3 2 2" xfId="3114" xr:uid="{00000000-0005-0000-0000-00006A040000}"/>
    <cellStyle name="Accent3 3 3 3" xfId="1239" xr:uid="{00000000-0005-0000-0000-00006B040000}"/>
    <cellStyle name="Accent3 3 3 3 2" xfId="2272" xr:uid="{00000000-0005-0000-0000-00006C040000}"/>
    <cellStyle name="Accent3 3 3 4" xfId="1240" xr:uid="{00000000-0005-0000-0000-00006D040000}"/>
    <cellStyle name="Accent3 3 4" xfId="1241" xr:uid="{00000000-0005-0000-0000-00006E040000}"/>
    <cellStyle name="Accent3 3 4 2" xfId="2273" xr:uid="{00000000-0005-0000-0000-00006F040000}"/>
    <cellStyle name="Accent3 3 4 3" xfId="2688" xr:uid="{00000000-0005-0000-0000-000070040000}"/>
    <cellStyle name="Accent3 3 4 3 2" xfId="4180" xr:uid="{00000000-0005-0000-0000-000071040000}"/>
    <cellStyle name="Accent3 3 5" xfId="1242" xr:uid="{00000000-0005-0000-0000-000072040000}"/>
    <cellStyle name="Accent3 30" xfId="3115" xr:uid="{00000000-0005-0000-0000-000073040000}"/>
    <cellStyle name="Accent3 31" xfId="3116" xr:uid="{00000000-0005-0000-0000-000074040000}"/>
    <cellStyle name="Accent3 32" xfId="3117" xr:uid="{00000000-0005-0000-0000-000075040000}"/>
    <cellStyle name="Accent3 33" xfId="3118" xr:uid="{00000000-0005-0000-0000-000076040000}"/>
    <cellStyle name="Accent3 34" xfId="3119" xr:uid="{00000000-0005-0000-0000-000077040000}"/>
    <cellStyle name="Accent3 35" xfId="3120" xr:uid="{00000000-0005-0000-0000-000078040000}"/>
    <cellStyle name="Accent3 36" xfId="3121" xr:uid="{00000000-0005-0000-0000-000079040000}"/>
    <cellStyle name="Accent3 37" xfId="3122" xr:uid="{00000000-0005-0000-0000-00007A040000}"/>
    <cellStyle name="Accent3 38" xfId="3123" xr:uid="{00000000-0005-0000-0000-00007B040000}"/>
    <cellStyle name="Accent3 39" xfId="3124" xr:uid="{00000000-0005-0000-0000-00007C040000}"/>
    <cellStyle name="Accent3 4" xfId="146" xr:uid="{00000000-0005-0000-0000-00007D040000}"/>
    <cellStyle name="Accent3 4 2" xfId="147" xr:uid="{00000000-0005-0000-0000-00007E040000}"/>
    <cellStyle name="Accent3 4 2 2" xfId="1243" xr:uid="{00000000-0005-0000-0000-00007F040000}"/>
    <cellStyle name="Accent3 4 2 2 2" xfId="2274" xr:uid="{00000000-0005-0000-0000-000080040000}"/>
    <cellStyle name="Accent3 4 2 3" xfId="1244" xr:uid="{00000000-0005-0000-0000-000081040000}"/>
    <cellStyle name="Accent3 4 3" xfId="1245" xr:uid="{00000000-0005-0000-0000-000082040000}"/>
    <cellStyle name="Accent3 4 4" xfId="1246" xr:uid="{00000000-0005-0000-0000-000083040000}"/>
    <cellStyle name="Accent3 4 4 2" xfId="2276" xr:uid="{00000000-0005-0000-0000-000084040000}"/>
    <cellStyle name="Accent3 4 4 3" xfId="3934" xr:uid="{00000000-0005-0000-0000-000085040000}"/>
    <cellStyle name="Accent3 4 5" xfId="1247" xr:uid="{00000000-0005-0000-0000-000086040000}"/>
    <cellStyle name="Accent3 4 5 2" xfId="3880" xr:uid="{00000000-0005-0000-0000-000087040000}"/>
    <cellStyle name="Accent3 40" xfId="3125" xr:uid="{00000000-0005-0000-0000-000088040000}"/>
    <cellStyle name="Accent3 40 2" xfId="3755" xr:uid="{00000000-0005-0000-0000-000089040000}"/>
    <cellStyle name="Accent3 40 2 2" xfId="2717" xr:uid="{00000000-0005-0000-0000-00008A040000}"/>
    <cellStyle name="Accent3 41" xfId="3126" xr:uid="{00000000-0005-0000-0000-00008B040000}"/>
    <cellStyle name="Accent3 42" xfId="3556" xr:uid="{00000000-0005-0000-0000-00008C040000}"/>
    <cellStyle name="Accent3 42 2" xfId="3806" xr:uid="{00000000-0005-0000-0000-00008D040000}"/>
    <cellStyle name="Accent3 42 3" xfId="4101" xr:uid="{00000000-0005-0000-0000-00008E040000}"/>
    <cellStyle name="Accent3 43" xfId="3551" xr:uid="{00000000-0005-0000-0000-00008F040000}"/>
    <cellStyle name="Accent3 43 2" xfId="4171" xr:uid="{00000000-0005-0000-0000-000090040000}"/>
    <cellStyle name="Accent3 43 3" xfId="4182" xr:uid="{00000000-0005-0000-0000-000091040000}"/>
    <cellStyle name="Accent3 44" xfId="2876" xr:uid="{00000000-0005-0000-0000-000092040000}"/>
    <cellStyle name="Accent3 45" xfId="3578" xr:uid="{00000000-0005-0000-0000-000093040000}"/>
    <cellStyle name="Accent3 46" xfId="3583" xr:uid="{00000000-0005-0000-0000-000094040000}"/>
    <cellStyle name="Accent3 47" xfId="2828" xr:uid="{00000000-0005-0000-0000-000095040000}"/>
    <cellStyle name="Accent3 47 2" xfId="4145" xr:uid="{00000000-0005-0000-0000-000096040000}"/>
    <cellStyle name="Accent3 48" xfId="2865" xr:uid="{00000000-0005-0000-0000-000097040000}"/>
    <cellStyle name="Accent3 48 2" xfId="2713" xr:uid="{00000000-0005-0000-0000-000098040000}"/>
    <cellStyle name="Accent3 49" xfId="2901" xr:uid="{00000000-0005-0000-0000-000099040000}"/>
    <cellStyle name="Accent3 49 2" xfId="4996" xr:uid="{00000000-0005-0000-0000-00009A040000}"/>
    <cellStyle name="Accent3 5" xfId="148" xr:uid="{00000000-0005-0000-0000-00009B040000}"/>
    <cellStyle name="Accent3 5 2" xfId="149" xr:uid="{00000000-0005-0000-0000-00009C040000}"/>
    <cellStyle name="Accent3 5 2 2" xfId="1248" xr:uid="{00000000-0005-0000-0000-00009D040000}"/>
    <cellStyle name="Accent3 5 2 2 2" xfId="3127" xr:uid="{00000000-0005-0000-0000-00009E040000}"/>
    <cellStyle name="Accent3 5 2 2 2 2" xfId="3725" xr:uid="{00000000-0005-0000-0000-00009F040000}"/>
    <cellStyle name="Accent3 5 2 2 3" xfId="2279" xr:uid="{00000000-0005-0000-0000-0000A0040000}"/>
    <cellStyle name="Accent3 5 2 2 3 2" xfId="3805" xr:uid="{00000000-0005-0000-0000-0000A1040000}"/>
    <cellStyle name="Accent3 5 2 3" xfId="1249" xr:uid="{00000000-0005-0000-0000-0000A2040000}"/>
    <cellStyle name="Accent3 5 3" xfId="1250" xr:uid="{00000000-0005-0000-0000-0000A3040000}"/>
    <cellStyle name="Accent3 5 3 2" xfId="3128" xr:uid="{00000000-0005-0000-0000-0000A4040000}"/>
    <cellStyle name="Accent3 5 4" xfId="1251" xr:uid="{00000000-0005-0000-0000-0000A5040000}"/>
    <cellStyle name="Accent3 5 4 2" xfId="2281" xr:uid="{00000000-0005-0000-0000-0000A6040000}"/>
    <cellStyle name="Accent3 5 5" xfId="1252" xr:uid="{00000000-0005-0000-0000-0000A7040000}"/>
    <cellStyle name="Accent3 50" xfId="3591" xr:uid="{00000000-0005-0000-0000-0000A8040000}"/>
    <cellStyle name="Accent3 50 2" xfId="5128" xr:uid="{00000000-0005-0000-0000-0000A9040000}"/>
    <cellStyle name="Accent3 51" xfId="2875" xr:uid="{00000000-0005-0000-0000-0000AA040000}"/>
    <cellStyle name="Accent3 51 2" xfId="5053" xr:uid="{00000000-0005-0000-0000-0000AB040000}"/>
    <cellStyle name="Accent3 52" xfId="2176" xr:uid="{00000000-0005-0000-0000-0000AC040000}"/>
    <cellStyle name="Accent3 53" xfId="2725" xr:uid="{00000000-0005-0000-0000-0000AD040000}"/>
    <cellStyle name="Accent3 54" xfId="3620" xr:uid="{00000000-0005-0000-0000-0000AE040000}"/>
    <cellStyle name="Accent3 55" xfId="2345" xr:uid="{00000000-0005-0000-0000-0000AF040000}"/>
    <cellStyle name="Accent3 56" xfId="2232" xr:uid="{00000000-0005-0000-0000-0000B0040000}"/>
    <cellStyle name="Accent3 57" xfId="4139" xr:uid="{00000000-0005-0000-0000-0000B1040000}"/>
    <cellStyle name="Accent3 58" xfId="4128" xr:uid="{00000000-0005-0000-0000-0000B2040000}"/>
    <cellStyle name="Accent3 59" xfId="4186" xr:uid="{00000000-0005-0000-0000-0000B3040000}"/>
    <cellStyle name="Accent3 6" xfId="150" xr:uid="{00000000-0005-0000-0000-0000B4040000}"/>
    <cellStyle name="Accent3 6 2" xfId="764" xr:uid="{00000000-0005-0000-0000-0000B5040000}"/>
    <cellStyle name="Accent3 6 2 2" xfId="3129" xr:uid="{00000000-0005-0000-0000-0000B6040000}"/>
    <cellStyle name="Accent3 6 3" xfId="3130" xr:uid="{00000000-0005-0000-0000-0000B7040000}"/>
    <cellStyle name="Accent3 60" xfId="5205" xr:uid="{00000000-0005-0000-0000-0000B8040000}"/>
    <cellStyle name="Accent3 61" xfId="5240" xr:uid="{00000000-0005-0000-0000-0000B9040000}"/>
    <cellStyle name="Accent3 62" xfId="5406" xr:uid="{00000000-0005-0000-0000-0000BA040000}"/>
    <cellStyle name="Accent3 63" xfId="5448" xr:uid="{00000000-0005-0000-0000-0000BB040000}"/>
    <cellStyle name="Accent3 64" xfId="5555" xr:uid="{00000000-0005-0000-0000-0000BC040000}"/>
    <cellStyle name="Accent3 65" xfId="5534" xr:uid="{00000000-0005-0000-0000-0000BD040000}"/>
    <cellStyle name="Accent3 66" xfId="5627" xr:uid="{00000000-0005-0000-0000-0000BE040000}"/>
    <cellStyle name="Accent3 67" xfId="5593" xr:uid="{00000000-0005-0000-0000-0000BF040000}"/>
    <cellStyle name="Accent3 7" xfId="151" xr:uid="{00000000-0005-0000-0000-0000C0040000}"/>
    <cellStyle name="Accent3 7 2" xfId="2040" xr:uid="{00000000-0005-0000-0000-0000C1040000}"/>
    <cellStyle name="Accent3 7 2 2" xfId="3131" xr:uid="{00000000-0005-0000-0000-0000C2040000}"/>
    <cellStyle name="Accent3 7 3" xfId="3132" xr:uid="{00000000-0005-0000-0000-0000C3040000}"/>
    <cellStyle name="Accent3 8" xfId="152" xr:uid="{00000000-0005-0000-0000-0000C4040000}"/>
    <cellStyle name="Accent3 8 2" xfId="3133" xr:uid="{00000000-0005-0000-0000-0000C5040000}"/>
    <cellStyle name="Accent3 8 3" xfId="3134" xr:uid="{00000000-0005-0000-0000-0000C6040000}"/>
    <cellStyle name="Accent3 9" xfId="153" xr:uid="{00000000-0005-0000-0000-0000C7040000}"/>
    <cellStyle name="Accent3 9 2" xfId="3135" xr:uid="{00000000-0005-0000-0000-0000C8040000}"/>
    <cellStyle name="Accent3 9 3" xfId="3136" xr:uid="{00000000-0005-0000-0000-0000C9040000}"/>
    <cellStyle name="Accent4" xfId="154" builtinId="41" customBuiltin="1"/>
    <cellStyle name="Accent4 - 20 %" xfId="155" xr:uid="{00000000-0005-0000-0000-0000CB040000}"/>
    <cellStyle name="Accent4 - 20 % 2" xfId="156" xr:uid="{00000000-0005-0000-0000-0000CC040000}"/>
    <cellStyle name="Accent4 - 20 % 2 2" xfId="157" xr:uid="{00000000-0005-0000-0000-0000CD040000}"/>
    <cellStyle name="Accent4 - 20 % 2 2 2" xfId="3137" xr:uid="{00000000-0005-0000-0000-0000CE040000}"/>
    <cellStyle name="Accent4 - 20 % 2 3" xfId="1254" xr:uid="{00000000-0005-0000-0000-0000CF040000}"/>
    <cellStyle name="Accent4 - 20 % 2 4" xfId="2526" xr:uid="{00000000-0005-0000-0000-0000D0040000}"/>
    <cellStyle name="Accent4 - 20 % 3" xfId="158" xr:uid="{00000000-0005-0000-0000-0000D1040000}"/>
    <cellStyle name="Accent4 - 20 % 3 2" xfId="3138" xr:uid="{00000000-0005-0000-0000-0000D2040000}"/>
    <cellStyle name="Accent4 - 20 % 3 3" xfId="3935" xr:uid="{00000000-0005-0000-0000-0000D3040000}"/>
    <cellStyle name="Accent4 - 20 % 3 4" xfId="3881" xr:uid="{00000000-0005-0000-0000-0000D4040000}"/>
    <cellStyle name="Accent4 - 20 % 4" xfId="159" xr:uid="{00000000-0005-0000-0000-0000D5040000}"/>
    <cellStyle name="Accent4 - 20 % 4 2" xfId="2524" xr:uid="{00000000-0005-0000-0000-0000D6040000}"/>
    <cellStyle name="Accent4 - 20 % 4 3" xfId="3823" xr:uid="{00000000-0005-0000-0000-0000D7040000}"/>
    <cellStyle name="Accent4 - 20 % 5" xfId="2834" xr:uid="{00000000-0005-0000-0000-0000D8040000}"/>
    <cellStyle name="Accent4 - 40 %" xfId="160" xr:uid="{00000000-0005-0000-0000-0000D9040000}"/>
    <cellStyle name="Accent4 - 40 % 2" xfId="161" xr:uid="{00000000-0005-0000-0000-0000DA040000}"/>
    <cellStyle name="Accent4 - 40 % 2 2" xfId="162" xr:uid="{00000000-0005-0000-0000-0000DB040000}"/>
    <cellStyle name="Accent4 - 40 % 2 2 2" xfId="3139" xr:uid="{00000000-0005-0000-0000-0000DC040000}"/>
    <cellStyle name="Accent4 - 40 % 2 3" xfId="1255" xr:uid="{00000000-0005-0000-0000-0000DD040000}"/>
    <cellStyle name="Accent4 - 40 % 2 4" xfId="2597" xr:uid="{00000000-0005-0000-0000-0000DE040000}"/>
    <cellStyle name="Accent4 - 40 % 3" xfId="163" xr:uid="{00000000-0005-0000-0000-0000DF040000}"/>
    <cellStyle name="Accent4 - 40 % 3 2" xfId="3140" xr:uid="{00000000-0005-0000-0000-0000E0040000}"/>
    <cellStyle name="Accent4 - 40 % 3 3" xfId="3936" xr:uid="{00000000-0005-0000-0000-0000E1040000}"/>
    <cellStyle name="Accent4 - 40 % 3 4" xfId="3882" xr:uid="{00000000-0005-0000-0000-0000E2040000}"/>
    <cellStyle name="Accent4 - 40 % 4" xfId="164" xr:uid="{00000000-0005-0000-0000-0000E3040000}"/>
    <cellStyle name="Accent4 - 40 % 4 2" xfId="3822" xr:uid="{00000000-0005-0000-0000-0000E4040000}"/>
    <cellStyle name="Accent4 - 40 % 4 3" xfId="3754" xr:uid="{00000000-0005-0000-0000-0000E5040000}"/>
    <cellStyle name="Accent4 - 40 % 5" xfId="2835" xr:uid="{00000000-0005-0000-0000-0000E6040000}"/>
    <cellStyle name="Accent4 - 60 %" xfId="165" xr:uid="{00000000-0005-0000-0000-0000E7040000}"/>
    <cellStyle name="Accent4 - 60 % 2" xfId="166" xr:uid="{00000000-0005-0000-0000-0000E8040000}"/>
    <cellStyle name="Accent4 - 60 % 2 2" xfId="3141" xr:uid="{00000000-0005-0000-0000-0000E9040000}"/>
    <cellStyle name="Accent4 - 60 % 2 3" xfId="3142" xr:uid="{00000000-0005-0000-0000-0000EA040000}"/>
    <cellStyle name="Accent4 - 60 % 2 4" xfId="2880" xr:uid="{00000000-0005-0000-0000-0000EB040000}"/>
    <cellStyle name="Accent4 - 60 % 2 5" xfId="2837" xr:uid="{00000000-0005-0000-0000-0000EC040000}"/>
    <cellStyle name="Accent4 - 60 % 3" xfId="167" xr:uid="{00000000-0005-0000-0000-0000ED040000}"/>
    <cellStyle name="Accent4 - 60 % 3 2" xfId="3143" xr:uid="{00000000-0005-0000-0000-0000EE040000}"/>
    <cellStyle name="Accent4 - 60 % 3 3" xfId="3937" xr:uid="{00000000-0005-0000-0000-0000EF040000}"/>
    <cellStyle name="Accent4 - 60 % 3 4" xfId="3883" xr:uid="{00000000-0005-0000-0000-0000F0040000}"/>
    <cellStyle name="Accent4 - 60 % 4" xfId="168" xr:uid="{00000000-0005-0000-0000-0000F1040000}"/>
    <cellStyle name="Accent4 - 60 % 5" xfId="2836" xr:uid="{00000000-0005-0000-0000-0000F2040000}"/>
    <cellStyle name="Accent4 10" xfId="169" xr:uid="{00000000-0005-0000-0000-0000F3040000}"/>
    <cellStyle name="Accent4 11" xfId="170" xr:uid="{00000000-0005-0000-0000-0000F4040000}"/>
    <cellStyle name="Accent4 12" xfId="171" xr:uid="{00000000-0005-0000-0000-0000F5040000}"/>
    <cellStyle name="Accent4 13" xfId="172" xr:uid="{00000000-0005-0000-0000-0000F6040000}"/>
    <cellStyle name="Accent4 14" xfId="173" xr:uid="{00000000-0005-0000-0000-0000F7040000}"/>
    <cellStyle name="Accent4 14 2" xfId="3144" xr:uid="{00000000-0005-0000-0000-0000F8040000}"/>
    <cellStyle name="Accent4 15" xfId="174" xr:uid="{00000000-0005-0000-0000-0000F9040000}"/>
    <cellStyle name="Accent4 15 2" xfId="3145" xr:uid="{00000000-0005-0000-0000-0000FA040000}"/>
    <cellStyle name="Accent4 16" xfId="175" xr:uid="{00000000-0005-0000-0000-0000FB040000}"/>
    <cellStyle name="Accent4 16 2" xfId="3146" xr:uid="{00000000-0005-0000-0000-0000FC040000}"/>
    <cellStyle name="Accent4 17" xfId="176" xr:uid="{00000000-0005-0000-0000-0000FD040000}"/>
    <cellStyle name="Accent4 18" xfId="177" xr:uid="{00000000-0005-0000-0000-0000FE040000}"/>
    <cellStyle name="Accent4 18 2" xfId="3147" xr:uid="{00000000-0005-0000-0000-0000FF040000}"/>
    <cellStyle name="Accent4 19" xfId="178" xr:uid="{00000000-0005-0000-0000-000000050000}"/>
    <cellStyle name="Accent4 19 2" xfId="1256" xr:uid="{00000000-0005-0000-0000-000001050000}"/>
    <cellStyle name="Accent4 19 2 2" xfId="3148" xr:uid="{00000000-0005-0000-0000-000002050000}"/>
    <cellStyle name="Accent4 19 3" xfId="2881" xr:uid="{00000000-0005-0000-0000-000003050000}"/>
    <cellStyle name="Accent4 2" xfId="179" xr:uid="{00000000-0005-0000-0000-000004050000}"/>
    <cellStyle name="Accent4 2 2" xfId="180" xr:uid="{00000000-0005-0000-0000-000005050000}"/>
    <cellStyle name="Accent4 2 2 2" xfId="1257" xr:uid="{00000000-0005-0000-0000-000006050000}"/>
    <cellStyle name="Accent4 2 2 2 2" xfId="3149" xr:uid="{00000000-0005-0000-0000-000007050000}"/>
    <cellStyle name="Accent4 2 2 2 2 2" xfId="2165" xr:uid="{00000000-0005-0000-0000-000008050000}"/>
    <cellStyle name="Accent4 2 2 2 3" xfId="2291" xr:uid="{00000000-0005-0000-0000-000009050000}"/>
    <cellStyle name="Accent4 2 2 3" xfId="1258" xr:uid="{00000000-0005-0000-0000-00000A050000}"/>
    <cellStyle name="Accent4 2 3" xfId="181" xr:uid="{00000000-0005-0000-0000-00000B050000}"/>
    <cellStyle name="Accent4 2 3 2" xfId="1259" xr:uid="{00000000-0005-0000-0000-00000C050000}"/>
    <cellStyle name="Accent4 2 3 2 2" xfId="3150" xr:uid="{00000000-0005-0000-0000-00000D050000}"/>
    <cellStyle name="Accent4 2 3 2 2 2" xfId="4170" xr:uid="{00000000-0005-0000-0000-00000E050000}"/>
    <cellStyle name="Accent4 2 3 2 3" xfId="2292" xr:uid="{00000000-0005-0000-0000-00000F050000}"/>
    <cellStyle name="Accent4 2 3 2 3 2" xfId="4179" xr:uid="{00000000-0005-0000-0000-000010050000}"/>
    <cellStyle name="Accent4 2 3 3" xfId="1260" xr:uid="{00000000-0005-0000-0000-000011050000}"/>
    <cellStyle name="Accent4 2 4" xfId="1261" xr:uid="{00000000-0005-0000-0000-000012050000}"/>
    <cellStyle name="Accent4 2 4 2" xfId="1262" xr:uid="{00000000-0005-0000-0000-000013050000}"/>
    <cellStyle name="Accent4 2 4 2 2" xfId="3151" xr:uid="{00000000-0005-0000-0000-000014050000}"/>
    <cellStyle name="Accent4 2 4 2 2 2" xfId="3748" xr:uid="{00000000-0005-0000-0000-000015050000}"/>
    <cellStyle name="Accent4 2 4 2 3" xfId="2293" xr:uid="{00000000-0005-0000-0000-000016050000}"/>
    <cellStyle name="Accent4 2 4 2 3 2" xfId="2245" xr:uid="{00000000-0005-0000-0000-000017050000}"/>
    <cellStyle name="Accent4 2 4 3" xfId="1263" xr:uid="{00000000-0005-0000-0000-000018050000}"/>
    <cellStyle name="Accent4 2 5" xfId="1264" xr:uid="{00000000-0005-0000-0000-000019050000}"/>
    <cellStyle name="Accent4 2 5 2" xfId="2743" xr:uid="{00000000-0005-0000-0000-00001A050000}"/>
    <cellStyle name="Accent4 2 5 2 2" xfId="4169" xr:uid="{00000000-0005-0000-0000-00001B050000}"/>
    <cellStyle name="Accent4 2 5 3" xfId="5712" xr:uid="{00000000-0005-0000-0000-00001C050000}"/>
    <cellStyle name="Accent4 2 6" xfId="1265" xr:uid="{00000000-0005-0000-0000-00001D050000}"/>
    <cellStyle name="Accent4 2 7" xfId="1266" xr:uid="{00000000-0005-0000-0000-00001E050000}"/>
    <cellStyle name="Accent4 2 7 2" xfId="1267" xr:uid="{00000000-0005-0000-0000-00001F050000}"/>
    <cellStyle name="Accent4 2 8" xfId="1268" xr:uid="{00000000-0005-0000-0000-000020050000}"/>
    <cellStyle name="Accent4 2 8 2" xfId="2295" xr:uid="{00000000-0005-0000-0000-000021050000}"/>
    <cellStyle name="Accent4 2 9" xfId="1269" xr:uid="{00000000-0005-0000-0000-000022050000}"/>
    <cellStyle name="Accent4 20" xfId="182" xr:uid="{00000000-0005-0000-0000-000023050000}"/>
    <cellStyle name="Accent4 20 2" xfId="1270" xr:uid="{00000000-0005-0000-0000-000024050000}"/>
    <cellStyle name="Accent4 20 2 2" xfId="3152" xr:uid="{00000000-0005-0000-0000-000025050000}"/>
    <cellStyle name="Accent4 20 2 3" xfId="4168" xr:uid="{00000000-0005-0000-0000-000026050000}"/>
    <cellStyle name="Accent4 20 3" xfId="2296" xr:uid="{00000000-0005-0000-0000-000027050000}"/>
    <cellStyle name="Accent4 20 3 2" xfId="4178" xr:uid="{00000000-0005-0000-0000-000028050000}"/>
    <cellStyle name="Accent4 21" xfId="1271" xr:uid="{00000000-0005-0000-0000-000029050000}"/>
    <cellStyle name="Accent4 21 2" xfId="3153" xr:uid="{00000000-0005-0000-0000-00002A050000}"/>
    <cellStyle name="Accent4 21 2 2" xfId="2228" xr:uid="{00000000-0005-0000-0000-00002B050000}"/>
    <cellStyle name="Accent4 21 3" xfId="2297" xr:uid="{00000000-0005-0000-0000-00002C050000}"/>
    <cellStyle name="Accent4 22" xfId="1253" xr:uid="{00000000-0005-0000-0000-00002D050000}"/>
    <cellStyle name="Accent4 22 2" xfId="3154" xr:uid="{00000000-0005-0000-0000-00002E050000}"/>
    <cellStyle name="Accent4 23" xfId="758" xr:uid="{00000000-0005-0000-0000-00002F050000}"/>
    <cellStyle name="Accent4 23 2" xfId="3155" xr:uid="{00000000-0005-0000-0000-000030050000}"/>
    <cellStyle name="Accent4 24" xfId="2095" xr:uid="{00000000-0005-0000-0000-000031050000}"/>
    <cellStyle name="Accent4 25" xfId="2020" xr:uid="{00000000-0005-0000-0000-000032050000}"/>
    <cellStyle name="Accent4 25 2" xfId="3157" xr:uid="{00000000-0005-0000-0000-000033050000}"/>
    <cellStyle name="Accent4 26" xfId="3158" xr:uid="{00000000-0005-0000-0000-000034050000}"/>
    <cellStyle name="Accent4 27" xfId="3159" xr:uid="{00000000-0005-0000-0000-000035050000}"/>
    <cellStyle name="Accent4 28" xfId="3160" xr:uid="{00000000-0005-0000-0000-000036050000}"/>
    <cellStyle name="Accent4 29" xfId="3161" xr:uid="{00000000-0005-0000-0000-000037050000}"/>
    <cellStyle name="Accent4 3" xfId="183" xr:uid="{00000000-0005-0000-0000-000038050000}"/>
    <cellStyle name="Accent4 3 2" xfId="184" xr:uid="{00000000-0005-0000-0000-000039050000}"/>
    <cellStyle name="Accent4 3 2 2" xfId="1272" xr:uid="{00000000-0005-0000-0000-00003A050000}"/>
    <cellStyle name="Accent4 3 2 2 2" xfId="3162" xr:uid="{00000000-0005-0000-0000-00003B050000}"/>
    <cellStyle name="Accent4 3 2 3" xfId="1273" xr:uid="{00000000-0005-0000-0000-00003C050000}"/>
    <cellStyle name="Accent4 3 2 3 2" xfId="2298" xr:uid="{00000000-0005-0000-0000-00003D050000}"/>
    <cellStyle name="Accent4 3 2 4" xfId="1274" xr:uid="{00000000-0005-0000-0000-00003E050000}"/>
    <cellStyle name="Accent4 3 3" xfId="1275" xr:uid="{00000000-0005-0000-0000-00003F050000}"/>
    <cellStyle name="Accent4 3 3 2" xfId="1276" xr:uid="{00000000-0005-0000-0000-000040050000}"/>
    <cellStyle name="Accent4 3 3 2 2" xfId="3163" xr:uid="{00000000-0005-0000-0000-000041050000}"/>
    <cellStyle name="Accent4 3 3 3" xfId="1277" xr:uid="{00000000-0005-0000-0000-000042050000}"/>
    <cellStyle name="Accent4 3 3 3 2" xfId="2299" xr:uid="{00000000-0005-0000-0000-000043050000}"/>
    <cellStyle name="Accent4 3 3 4" xfId="1278" xr:uid="{00000000-0005-0000-0000-000044050000}"/>
    <cellStyle name="Accent4 3 4" xfId="1279" xr:uid="{00000000-0005-0000-0000-000045050000}"/>
    <cellStyle name="Accent4 3 4 2" xfId="2300" xr:uid="{00000000-0005-0000-0000-000046050000}"/>
    <cellStyle name="Accent4 3 4 3" xfId="3619" xr:uid="{00000000-0005-0000-0000-000047050000}"/>
    <cellStyle name="Accent4 3 4 3 2" xfId="3814" xr:uid="{00000000-0005-0000-0000-000048050000}"/>
    <cellStyle name="Accent4 3 5" xfId="1280" xr:uid="{00000000-0005-0000-0000-000049050000}"/>
    <cellStyle name="Accent4 30" xfId="3164" xr:uid="{00000000-0005-0000-0000-00004A050000}"/>
    <cellStyle name="Accent4 31" xfId="3165" xr:uid="{00000000-0005-0000-0000-00004B050000}"/>
    <cellStyle name="Accent4 32" xfId="3166" xr:uid="{00000000-0005-0000-0000-00004C050000}"/>
    <cellStyle name="Accent4 33" xfId="3167" xr:uid="{00000000-0005-0000-0000-00004D050000}"/>
    <cellStyle name="Accent4 34" xfId="3168" xr:uid="{00000000-0005-0000-0000-00004E050000}"/>
    <cellStyle name="Accent4 35" xfId="3169" xr:uid="{00000000-0005-0000-0000-00004F050000}"/>
    <cellStyle name="Accent4 36" xfId="3170" xr:uid="{00000000-0005-0000-0000-000050050000}"/>
    <cellStyle name="Accent4 37" xfId="3171" xr:uid="{00000000-0005-0000-0000-000051050000}"/>
    <cellStyle name="Accent4 38" xfId="3172" xr:uid="{00000000-0005-0000-0000-000052050000}"/>
    <cellStyle name="Accent4 39" xfId="3173" xr:uid="{00000000-0005-0000-0000-000053050000}"/>
    <cellStyle name="Accent4 4" xfId="185" xr:uid="{00000000-0005-0000-0000-000054050000}"/>
    <cellStyle name="Accent4 4 2" xfId="186" xr:uid="{00000000-0005-0000-0000-000055050000}"/>
    <cellStyle name="Accent4 4 2 2" xfId="1281" xr:uid="{00000000-0005-0000-0000-000056050000}"/>
    <cellStyle name="Accent4 4 2 2 2" xfId="2301" xr:uid="{00000000-0005-0000-0000-000057050000}"/>
    <cellStyle name="Accent4 4 2 3" xfId="1282" xr:uid="{00000000-0005-0000-0000-000058050000}"/>
    <cellStyle name="Accent4 4 3" xfId="1283" xr:uid="{00000000-0005-0000-0000-000059050000}"/>
    <cellStyle name="Accent4 4 4" xfId="1284" xr:uid="{00000000-0005-0000-0000-00005A050000}"/>
    <cellStyle name="Accent4 4 4 2" xfId="2302" xr:uid="{00000000-0005-0000-0000-00005B050000}"/>
    <cellStyle name="Accent4 4 4 3" xfId="3938" xr:uid="{00000000-0005-0000-0000-00005C050000}"/>
    <cellStyle name="Accent4 4 5" xfId="1285" xr:uid="{00000000-0005-0000-0000-00005D050000}"/>
    <cellStyle name="Accent4 4 5 2" xfId="3884" xr:uid="{00000000-0005-0000-0000-00005E050000}"/>
    <cellStyle name="Accent4 40" xfId="3174" xr:uid="{00000000-0005-0000-0000-00005F050000}"/>
    <cellStyle name="Accent4 40 2" xfId="2230" xr:uid="{00000000-0005-0000-0000-000060050000}"/>
    <cellStyle name="Accent4 40 2 2" xfId="2097" xr:uid="{00000000-0005-0000-0000-000061050000}"/>
    <cellStyle name="Accent4 41" xfId="3175" xr:uid="{00000000-0005-0000-0000-000062050000}"/>
    <cellStyle name="Accent4 42" xfId="3557" xr:uid="{00000000-0005-0000-0000-000063050000}"/>
    <cellStyle name="Accent4 42 2" xfId="2514" xr:uid="{00000000-0005-0000-0000-000064050000}"/>
    <cellStyle name="Accent4 42 3" xfId="4103" xr:uid="{00000000-0005-0000-0000-000065050000}"/>
    <cellStyle name="Accent4 43" xfId="3574" xr:uid="{00000000-0005-0000-0000-000066050000}"/>
    <cellStyle name="Accent4 43 2" xfId="2515" xr:uid="{00000000-0005-0000-0000-000067050000}"/>
    <cellStyle name="Accent4 43 3" xfId="4091" xr:uid="{00000000-0005-0000-0000-000068050000}"/>
    <cellStyle name="Accent4 44" xfId="2879" xr:uid="{00000000-0005-0000-0000-000069050000}"/>
    <cellStyle name="Accent4 45" xfId="3579" xr:uid="{00000000-0005-0000-0000-00006A050000}"/>
    <cellStyle name="Accent4 46" xfId="3582" xr:uid="{00000000-0005-0000-0000-00006B050000}"/>
    <cellStyle name="Accent4 47" xfId="2833" xr:uid="{00000000-0005-0000-0000-00006C050000}"/>
    <cellStyle name="Accent4 47 2" xfId="4088" xr:uid="{00000000-0005-0000-0000-00006D050000}"/>
    <cellStyle name="Accent4 48" xfId="2951" xr:uid="{00000000-0005-0000-0000-00006E050000}"/>
    <cellStyle name="Accent4 48 2" xfId="2510" xr:uid="{00000000-0005-0000-0000-00006F050000}"/>
    <cellStyle name="Accent4 49" xfId="3589" xr:uid="{00000000-0005-0000-0000-000070050000}"/>
    <cellStyle name="Accent4 49 2" xfId="4997" xr:uid="{00000000-0005-0000-0000-000071050000}"/>
    <cellStyle name="Accent4 5" xfId="187" xr:uid="{00000000-0005-0000-0000-000072050000}"/>
    <cellStyle name="Accent4 5 2" xfId="188" xr:uid="{00000000-0005-0000-0000-000073050000}"/>
    <cellStyle name="Accent4 5 2 2" xfId="1286" xr:uid="{00000000-0005-0000-0000-000074050000}"/>
    <cellStyle name="Accent4 5 2 2 2" xfId="3176" xr:uid="{00000000-0005-0000-0000-000075050000}"/>
    <cellStyle name="Accent4 5 2 2 2 2" xfId="4167" xr:uid="{00000000-0005-0000-0000-000076050000}"/>
    <cellStyle name="Accent4 5 2 2 3" xfId="2304" xr:uid="{00000000-0005-0000-0000-000077050000}"/>
    <cellStyle name="Accent4 5 2 2 3 2" xfId="4177" xr:uid="{00000000-0005-0000-0000-000078050000}"/>
    <cellStyle name="Accent4 5 2 3" xfId="1287" xr:uid="{00000000-0005-0000-0000-000079050000}"/>
    <cellStyle name="Accent4 5 3" xfId="1288" xr:uid="{00000000-0005-0000-0000-00007A050000}"/>
    <cellStyle name="Accent4 5 3 2" xfId="3177" xr:uid="{00000000-0005-0000-0000-00007B050000}"/>
    <cellStyle name="Accent4 5 4" xfId="1289" xr:uid="{00000000-0005-0000-0000-00007C050000}"/>
    <cellStyle name="Accent4 5 4 2" xfId="2305" xr:uid="{00000000-0005-0000-0000-00007D050000}"/>
    <cellStyle name="Accent4 5 5" xfId="1290" xr:uid="{00000000-0005-0000-0000-00007E050000}"/>
    <cellStyle name="Accent4 50" xfId="3598" xr:uid="{00000000-0005-0000-0000-00007F050000}"/>
    <cellStyle name="Accent4 50 2" xfId="5040" xr:uid="{00000000-0005-0000-0000-000080050000}"/>
    <cellStyle name="Accent4 51" xfId="2811" xr:uid="{00000000-0005-0000-0000-000081050000}"/>
    <cellStyle name="Accent4 51 2" xfId="5133" xr:uid="{00000000-0005-0000-0000-000082050000}"/>
    <cellStyle name="Accent4 52" xfId="2284" xr:uid="{00000000-0005-0000-0000-000083050000}"/>
    <cellStyle name="Accent4 53" xfId="2716" xr:uid="{00000000-0005-0000-0000-000084050000}"/>
    <cellStyle name="Accent4 54" xfId="3606" xr:uid="{00000000-0005-0000-0000-000085050000}"/>
    <cellStyle name="Accent4 55" xfId="2258" xr:uid="{00000000-0005-0000-0000-000086050000}"/>
    <cellStyle name="Accent4 56" xfId="2234" xr:uid="{00000000-0005-0000-0000-000087050000}"/>
    <cellStyle name="Accent4 57" xfId="4138" xr:uid="{00000000-0005-0000-0000-000088050000}"/>
    <cellStyle name="Accent4 58" xfId="4912" xr:uid="{00000000-0005-0000-0000-000089050000}"/>
    <cellStyle name="Accent4 59" xfId="4792" xr:uid="{00000000-0005-0000-0000-00008A050000}"/>
    <cellStyle name="Accent4 6" xfId="189" xr:uid="{00000000-0005-0000-0000-00008B050000}"/>
    <cellStyle name="Accent4 6 2" xfId="762" xr:uid="{00000000-0005-0000-0000-00008C050000}"/>
    <cellStyle name="Accent4 6 2 2" xfId="3178" xr:uid="{00000000-0005-0000-0000-00008D050000}"/>
    <cellStyle name="Accent4 6 3" xfId="3179" xr:uid="{00000000-0005-0000-0000-00008E050000}"/>
    <cellStyle name="Accent4 60" xfId="5204" xr:uid="{00000000-0005-0000-0000-00008F050000}"/>
    <cellStyle name="Accent4 61" xfId="5234" xr:uid="{00000000-0005-0000-0000-000090050000}"/>
    <cellStyle name="Accent4 62" xfId="5407" xr:uid="{00000000-0005-0000-0000-000091050000}"/>
    <cellStyle name="Accent4 63" xfId="5447" xr:uid="{00000000-0005-0000-0000-000092050000}"/>
    <cellStyle name="Accent4 64" xfId="5541" xr:uid="{00000000-0005-0000-0000-000093050000}"/>
    <cellStyle name="Accent4 65" xfId="5535" xr:uid="{00000000-0005-0000-0000-000094050000}"/>
    <cellStyle name="Accent4 66" xfId="5626" xr:uid="{00000000-0005-0000-0000-000095050000}"/>
    <cellStyle name="Accent4 67" xfId="5594" xr:uid="{00000000-0005-0000-0000-000096050000}"/>
    <cellStyle name="Accent4 7" xfId="190" xr:uid="{00000000-0005-0000-0000-000097050000}"/>
    <cellStyle name="Accent4 7 2" xfId="2049" xr:uid="{00000000-0005-0000-0000-000098050000}"/>
    <cellStyle name="Accent4 7 2 2" xfId="3180" xr:uid="{00000000-0005-0000-0000-000099050000}"/>
    <cellStyle name="Accent4 7 3" xfId="3181" xr:uid="{00000000-0005-0000-0000-00009A050000}"/>
    <cellStyle name="Accent4 8" xfId="191" xr:uid="{00000000-0005-0000-0000-00009B050000}"/>
    <cellStyle name="Accent4 8 2" xfId="3182" xr:uid="{00000000-0005-0000-0000-00009C050000}"/>
    <cellStyle name="Accent4 8 3" xfId="3183" xr:uid="{00000000-0005-0000-0000-00009D050000}"/>
    <cellStyle name="Accent4 9" xfId="192" xr:uid="{00000000-0005-0000-0000-00009E050000}"/>
    <cellStyle name="Accent4 9 2" xfId="3184" xr:uid="{00000000-0005-0000-0000-00009F050000}"/>
    <cellStyle name="Accent4 9 3" xfId="3185" xr:uid="{00000000-0005-0000-0000-0000A0050000}"/>
    <cellStyle name="Accent5" xfId="193" builtinId="45" customBuiltin="1"/>
    <cellStyle name="Accent5 - 20 %" xfId="194" xr:uid="{00000000-0005-0000-0000-0000A2050000}"/>
    <cellStyle name="Accent5 - 20 % 2" xfId="195" xr:uid="{00000000-0005-0000-0000-0000A3050000}"/>
    <cellStyle name="Accent5 - 20 % 2 2" xfId="196" xr:uid="{00000000-0005-0000-0000-0000A4050000}"/>
    <cellStyle name="Accent5 - 20 % 2 2 2" xfId="3186" xr:uid="{00000000-0005-0000-0000-0000A5050000}"/>
    <cellStyle name="Accent5 - 20 % 2 3" xfId="1292" xr:uid="{00000000-0005-0000-0000-0000A6050000}"/>
    <cellStyle name="Accent5 - 20 % 2 4" xfId="2164" xr:uid="{00000000-0005-0000-0000-0000A7050000}"/>
    <cellStyle name="Accent5 - 20 % 3" xfId="197" xr:uid="{00000000-0005-0000-0000-0000A8050000}"/>
    <cellStyle name="Accent5 - 20 % 3 2" xfId="3187" xr:uid="{00000000-0005-0000-0000-0000A9050000}"/>
    <cellStyle name="Accent5 - 20 % 3 3" xfId="3939" xr:uid="{00000000-0005-0000-0000-0000AA050000}"/>
    <cellStyle name="Accent5 - 20 % 3 4" xfId="3885" xr:uid="{00000000-0005-0000-0000-0000AB050000}"/>
    <cellStyle name="Accent5 - 20 % 4" xfId="198" xr:uid="{00000000-0005-0000-0000-0000AC050000}"/>
    <cellStyle name="Accent5 - 20 % 4 2" xfId="2163" xr:uid="{00000000-0005-0000-0000-0000AD050000}"/>
    <cellStyle name="Accent5 - 20 % 4 3" xfId="2982" xr:uid="{00000000-0005-0000-0000-0000AE050000}"/>
    <cellStyle name="Accent5 - 20 % 5" xfId="2839" xr:uid="{00000000-0005-0000-0000-0000AF050000}"/>
    <cellStyle name="Accent5 - 40 %" xfId="199" xr:uid="{00000000-0005-0000-0000-0000B0050000}"/>
    <cellStyle name="Accent5 - 40 % 2" xfId="200" xr:uid="{00000000-0005-0000-0000-0000B1050000}"/>
    <cellStyle name="Accent5 - 40 % 2 2" xfId="201" xr:uid="{00000000-0005-0000-0000-0000B2050000}"/>
    <cellStyle name="Accent5 - 40 % 2 2 2" xfId="3188" xr:uid="{00000000-0005-0000-0000-0000B3050000}"/>
    <cellStyle name="Accent5 - 40 % 2 3" xfId="1293" xr:uid="{00000000-0005-0000-0000-0000B4050000}"/>
    <cellStyle name="Accent5 - 40 % 2 4" xfId="2104" xr:uid="{00000000-0005-0000-0000-0000B5050000}"/>
    <cellStyle name="Accent5 - 40 % 3" xfId="202" xr:uid="{00000000-0005-0000-0000-0000B6050000}"/>
    <cellStyle name="Accent5 - 40 % 3 2" xfId="3189" xr:uid="{00000000-0005-0000-0000-0000B7050000}"/>
    <cellStyle name="Accent5 - 40 % 3 3" xfId="3940" xr:uid="{00000000-0005-0000-0000-0000B8050000}"/>
    <cellStyle name="Accent5 - 40 % 3 4" xfId="3886" xr:uid="{00000000-0005-0000-0000-0000B9050000}"/>
    <cellStyle name="Accent5 - 40 % 4" xfId="203" xr:uid="{00000000-0005-0000-0000-0000BA050000}"/>
    <cellStyle name="Accent5 - 40 % 4 2" xfId="3504" xr:uid="{00000000-0005-0000-0000-0000BB050000}"/>
    <cellStyle name="Accent5 - 40 % 4 3" xfId="2161" xr:uid="{00000000-0005-0000-0000-0000BC050000}"/>
    <cellStyle name="Accent5 - 40 % 5" xfId="2840" xr:uid="{00000000-0005-0000-0000-0000BD050000}"/>
    <cellStyle name="Accent5 - 60 %" xfId="204" xr:uid="{00000000-0005-0000-0000-0000BE050000}"/>
    <cellStyle name="Accent5 - 60 % 2" xfId="205" xr:uid="{00000000-0005-0000-0000-0000BF050000}"/>
    <cellStyle name="Accent5 - 60 % 2 2" xfId="3190" xr:uid="{00000000-0005-0000-0000-0000C0050000}"/>
    <cellStyle name="Accent5 - 60 % 2 3" xfId="3191" xr:uid="{00000000-0005-0000-0000-0000C1050000}"/>
    <cellStyle name="Accent5 - 60 % 2 4" xfId="2883" xr:uid="{00000000-0005-0000-0000-0000C2050000}"/>
    <cellStyle name="Accent5 - 60 % 2 5" xfId="2842" xr:uid="{00000000-0005-0000-0000-0000C3050000}"/>
    <cellStyle name="Accent5 - 60 % 3" xfId="206" xr:uid="{00000000-0005-0000-0000-0000C4050000}"/>
    <cellStyle name="Accent5 - 60 % 3 2" xfId="3192" xr:uid="{00000000-0005-0000-0000-0000C5050000}"/>
    <cellStyle name="Accent5 - 60 % 3 3" xfId="3941" xr:uid="{00000000-0005-0000-0000-0000C6050000}"/>
    <cellStyle name="Accent5 - 60 % 3 4" xfId="3887" xr:uid="{00000000-0005-0000-0000-0000C7050000}"/>
    <cellStyle name="Accent5 - 60 % 4" xfId="207" xr:uid="{00000000-0005-0000-0000-0000C8050000}"/>
    <cellStyle name="Accent5 - 60 % 5" xfId="2841" xr:uid="{00000000-0005-0000-0000-0000C9050000}"/>
    <cellStyle name="Accent5 10" xfId="208" xr:uid="{00000000-0005-0000-0000-0000CA050000}"/>
    <cellStyle name="Accent5 11" xfId="209" xr:uid="{00000000-0005-0000-0000-0000CB050000}"/>
    <cellStyle name="Accent5 12" xfId="210" xr:uid="{00000000-0005-0000-0000-0000CC050000}"/>
    <cellStyle name="Accent5 13" xfId="211" xr:uid="{00000000-0005-0000-0000-0000CD050000}"/>
    <cellStyle name="Accent5 14" xfId="212" xr:uid="{00000000-0005-0000-0000-0000CE050000}"/>
    <cellStyle name="Accent5 14 2" xfId="3194" xr:uid="{00000000-0005-0000-0000-0000CF050000}"/>
    <cellStyle name="Accent5 15" xfId="213" xr:uid="{00000000-0005-0000-0000-0000D0050000}"/>
    <cellStyle name="Accent5 15 2" xfId="3195" xr:uid="{00000000-0005-0000-0000-0000D1050000}"/>
    <cellStyle name="Accent5 16" xfId="214" xr:uid="{00000000-0005-0000-0000-0000D2050000}"/>
    <cellStyle name="Accent5 16 2" xfId="3196" xr:uid="{00000000-0005-0000-0000-0000D3050000}"/>
    <cellStyle name="Accent5 17" xfId="215" xr:uid="{00000000-0005-0000-0000-0000D4050000}"/>
    <cellStyle name="Accent5 18" xfId="216" xr:uid="{00000000-0005-0000-0000-0000D5050000}"/>
    <cellStyle name="Accent5 18 2" xfId="3197" xr:uid="{00000000-0005-0000-0000-0000D6050000}"/>
    <cellStyle name="Accent5 19" xfId="217" xr:uid="{00000000-0005-0000-0000-0000D7050000}"/>
    <cellStyle name="Accent5 19 2" xfId="1294" xr:uid="{00000000-0005-0000-0000-0000D8050000}"/>
    <cellStyle name="Accent5 19 2 2" xfId="3198" xr:uid="{00000000-0005-0000-0000-0000D9050000}"/>
    <cellStyle name="Accent5 19 3" xfId="2884" xr:uid="{00000000-0005-0000-0000-0000DA050000}"/>
    <cellStyle name="Accent5 2" xfId="218" xr:uid="{00000000-0005-0000-0000-0000DB050000}"/>
    <cellStyle name="Accent5 2 2" xfId="219" xr:uid="{00000000-0005-0000-0000-0000DC050000}"/>
    <cellStyle name="Accent5 2 2 2" xfId="1295" xr:uid="{00000000-0005-0000-0000-0000DD050000}"/>
    <cellStyle name="Accent5 2 2 2 2" xfId="3199" xr:uid="{00000000-0005-0000-0000-0000DE050000}"/>
    <cellStyle name="Accent5 2 2 2 2 2" xfId="4430" xr:uid="{00000000-0005-0000-0000-0000DF050000}"/>
    <cellStyle name="Accent5 2 2 2 3" xfId="2318" xr:uid="{00000000-0005-0000-0000-0000E0050000}"/>
    <cellStyle name="Accent5 2 2 3" xfId="1296" xr:uid="{00000000-0005-0000-0000-0000E1050000}"/>
    <cellStyle name="Accent5 2 3" xfId="220" xr:uid="{00000000-0005-0000-0000-0000E2050000}"/>
    <cellStyle name="Accent5 2 3 2" xfId="1297" xr:uid="{00000000-0005-0000-0000-0000E3050000}"/>
    <cellStyle name="Accent5 2 3 2 2" xfId="3200" xr:uid="{00000000-0005-0000-0000-0000E4050000}"/>
    <cellStyle name="Accent5 2 3 2 2 2" xfId="4431" xr:uid="{00000000-0005-0000-0000-0000E5050000}"/>
    <cellStyle name="Accent5 2 3 2 3" xfId="2319" xr:uid="{00000000-0005-0000-0000-0000E6050000}"/>
    <cellStyle name="Accent5 2 3 2 3 2" xfId="4432" xr:uid="{00000000-0005-0000-0000-0000E7050000}"/>
    <cellStyle name="Accent5 2 3 3" xfId="1298" xr:uid="{00000000-0005-0000-0000-0000E8050000}"/>
    <cellStyle name="Accent5 2 4" xfId="1299" xr:uid="{00000000-0005-0000-0000-0000E9050000}"/>
    <cellStyle name="Accent5 2 4 2" xfId="1300" xr:uid="{00000000-0005-0000-0000-0000EA050000}"/>
    <cellStyle name="Accent5 2 4 2 2" xfId="3201" xr:uid="{00000000-0005-0000-0000-0000EB050000}"/>
    <cellStyle name="Accent5 2 4 2 2 2" xfId="4433" xr:uid="{00000000-0005-0000-0000-0000EC050000}"/>
    <cellStyle name="Accent5 2 4 2 3" xfId="2320" xr:uid="{00000000-0005-0000-0000-0000ED050000}"/>
    <cellStyle name="Accent5 2 4 2 3 2" xfId="4434" xr:uid="{00000000-0005-0000-0000-0000EE050000}"/>
    <cellStyle name="Accent5 2 4 3" xfId="1301" xr:uid="{00000000-0005-0000-0000-0000EF050000}"/>
    <cellStyle name="Accent5 2 5" xfId="1302" xr:uid="{00000000-0005-0000-0000-0000F0050000}"/>
    <cellStyle name="Accent5 2 5 2" xfId="2698" xr:uid="{00000000-0005-0000-0000-0000F1050000}"/>
    <cellStyle name="Accent5 2 5 2 2" xfId="4435" xr:uid="{00000000-0005-0000-0000-0000F2050000}"/>
    <cellStyle name="Accent5 2 5 3" xfId="5713" xr:uid="{00000000-0005-0000-0000-0000F3050000}"/>
    <cellStyle name="Accent5 2 6" xfId="1303" xr:uid="{00000000-0005-0000-0000-0000F4050000}"/>
    <cellStyle name="Accent5 2 7" xfId="1304" xr:uid="{00000000-0005-0000-0000-0000F5050000}"/>
    <cellStyle name="Accent5 2 7 2" xfId="1305" xr:uid="{00000000-0005-0000-0000-0000F6050000}"/>
    <cellStyle name="Accent5 2 8" xfId="1306" xr:uid="{00000000-0005-0000-0000-0000F7050000}"/>
    <cellStyle name="Accent5 2 8 2" xfId="2322" xr:uid="{00000000-0005-0000-0000-0000F8050000}"/>
    <cellStyle name="Accent5 2 9" xfId="1307" xr:uid="{00000000-0005-0000-0000-0000F9050000}"/>
    <cellStyle name="Accent5 20" xfId="221" xr:uid="{00000000-0005-0000-0000-0000FA050000}"/>
    <cellStyle name="Accent5 20 2" xfId="1308" xr:uid="{00000000-0005-0000-0000-0000FB050000}"/>
    <cellStyle name="Accent5 20 2 2" xfId="3202" xr:uid="{00000000-0005-0000-0000-0000FC050000}"/>
    <cellStyle name="Accent5 20 2 3" xfId="4436" xr:uid="{00000000-0005-0000-0000-0000FD050000}"/>
    <cellStyle name="Accent5 20 3" xfId="2323" xr:uid="{00000000-0005-0000-0000-0000FE050000}"/>
    <cellStyle name="Accent5 20 3 2" xfId="4437" xr:uid="{00000000-0005-0000-0000-0000FF050000}"/>
    <cellStyle name="Accent5 21" xfId="1309" xr:uid="{00000000-0005-0000-0000-000000060000}"/>
    <cellStyle name="Accent5 21 2" xfId="3203" xr:uid="{00000000-0005-0000-0000-000001060000}"/>
    <cellStyle name="Accent5 21 2 2" xfId="4438" xr:uid="{00000000-0005-0000-0000-000002060000}"/>
    <cellStyle name="Accent5 21 3" xfId="2324" xr:uid="{00000000-0005-0000-0000-000003060000}"/>
    <cellStyle name="Accent5 22" xfId="1291" xr:uid="{00000000-0005-0000-0000-000004060000}"/>
    <cellStyle name="Accent5 22 2" xfId="3204" xr:uid="{00000000-0005-0000-0000-000005060000}"/>
    <cellStyle name="Accent5 23" xfId="759" xr:uid="{00000000-0005-0000-0000-000006060000}"/>
    <cellStyle name="Accent5 23 2" xfId="3205" xr:uid="{00000000-0005-0000-0000-000007060000}"/>
    <cellStyle name="Accent5 24" xfId="2090" xr:uid="{00000000-0005-0000-0000-000008060000}"/>
    <cellStyle name="Accent5 25" xfId="2023" xr:uid="{00000000-0005-0000-0000-000009060000}"/>
    <cellStyle name="Accent5 25 2" xfId="3207" xr:uid="{00000000-0005-0000-0000-00000A060000}"/>
    <cellStyle name="Accent5 26" xfId="3208" xr:uid="{00000000-0005-0000-0000-00000B060000}"/>
    <cellStyle name="Accent5 27" xfId="3209" xr:uid="{00000000-0005-0000-0000-00000C060000}"/>
    <cellStyle name="Accent5 28" xfId="3210" xr:uid="{00000000-0005-0000-0000-00000D060000}"/>
    <cellStyle name="Accent5 29" xfId="3211" xr:uid="{00000000-0005-0000-0000-00000E060000}"/>
    <cellStyle name="Accent5 3" xfId="222" xr:uid="{00000000-0005-0000-0000-00000F060000}"/>
    <cellStyle name="Accent5 3 2" xfId="223" xr:uid="{00000000-0005-0000-0000-000010060000}"/>
    <cellStyle name="Accent5 3 2 2" xfId="1310" xr:uid="{00000000-0005-0000-0000-000011060000}"/>
    <cellStyle name="Accent5 3 2 2 2" xfId="3212" xr:uid="{00000000-0005-0000-0000-000012060000}"/>
    <cellStyle name="Accent5 3 2 3" xfId="1311" xr:uid="{00000000-0005-0000-0000-000013060000}"/>
    <cellStyle name="Accent5 3 2 3 2" xfId="2326" xr:uid="{00000000-0005-0000-0000-000014060000}"/>
    <cellStyle name="Accent5 3 2 4" xfId="1312" xr:uid="{00000000-0005-0000-0000-000015060000}"/>
    <cellStyle name="Accent5 3 3" xfId="1313" xr:uid="{00000000-0005-0000-0000-000016060000}"/>
    <cellStyle name="Accent5 3 3 2" xfId="1314" xr:uid="{00000000-0005-0000-0000-000017060000}"/>
    <cellStyle name="Accent5 3 3 2 2" xfId="3213" xr:uid="{00000000-0005-0000-0000-000018060000}"/>
    <cellStyle name="Accent5 3 3 3" xfId="1315" xr:uid="{00000000-0005-0000-0000-000019060000}"/>
    <cellStyle name="Accent5 3 3 3 2" xfId="2328" xr:uid="{00000000-0005-0000-0000-00001A060000}"/>
    <cellStyle name="Accent5 3 3 4" xfId="1316" xr:uid="{00000000-0005-0000-0000-00001B060000}"/>
    <cellStyle name="Accent5 3 4" xfId="1317" xr:uid="{00000000-0005-0000-0000-00001C060000}"/>
    <cellStyle name="Accent5 3 4 2" xfId="2329" xr:uid="{00000000-0005-0000-0000-00001D060000}"/>
    <cellStyle name="Accent5 3 4 3" xfId="2256" xr:uid="{00000000-0005-0000-0000-00001E060000}"/>
    <cellStyle name="Accent5 3 4 3 2" xfId="4439" xr:uid="{00000000-0005-0000-0000-00001F060000}"/>
    <cellStyle name="Accent5 3 5" xfId="1318" xr:uid="{00000000-0005-0000-0000-000020060000}"/>
    <cellStyle name="Accent5 30" xfId="3214" xr:uid="{00000000-0005-0000-0000-000021060000}"/>
    <cellStyle name="Accent5 31" xfId="3215" xr:uid="{00000000-0005-0000-0000-000022060000}"/>
    <cellStyle name="Accent5 32" xfId="3216" xr:uid="{00000000-0005-0000-0000-000023060000}"/>
    <cellStyle name="Accent5 33" xfId="3217" xr:uid="{00000000-0005-0000-0000-000024060000}"/>
    <cellStyle name="Accent5 34" xfId="3218" xr:uid="{00000000-0005-0000-0000-000025060000}"/>
    <cellStyle name="Accent5 35" xfId="3219" xr:uid="{00000000-0005-0000-0000-000026060000}"/>
    <cellStyle name="Accent5 36" xfId="3220" xr:uid="{00000000-0005-0000-0000-000027060000}"/>
    <cellStyle name="Accent5 37" xfId="3221" xr:uid="{00000000-0005-0000-0000-000028060000}"/>
    <cellStyle name="Accent5 38" xfId="3222" xr:uid="{00000000-0005-0000-0000-000029060000}"/>
    <cellStyle name="Accent5 39" xfId="3223" xr:uid="{00000000-0005-0000-0000-00002A060000}"/>
    <cellStyle name="Accent5 4" xfId="224" xr:uid="{00000000-0005-0000-0000-00002B060000}"/>
    <cellStyle name="Accent5 4 2" xfId="225" xr:uid="{00000000-0005-0000-0000-00002C060000}"/>
    <cellStyle name="Accent5 4 2 2" xfId="1319" xr:uid="{00000000-0005-0000-0000-00002D060000}"/>
    <cellStyle name="Accent5 4 2 2 2" xfId="2332" xr:uid="{00000000-0005-0000-0000-00002E060000}"/>
    <cellStyle name="Accent5 4 2 3" xfId="1320" xr:uid="{00000000-0005-0000-0000-00002F060000}"/>
    <cellStyle name="Accent5 4 3" xfId="1321" xr:uid="{00000000-0005-0000-0000-000030060000}"/>
    <cellStyle name="Accent5 4 4" xfId="1322" xr:uid="{00000000-0005-0000-0000-000031060000}"/>
    <cellStyle name="Accent5 4 4 2" xfId="2333" xr:uid="{00000000-0005-0000-0000-000032060000}"/>
    <cellStyle name="Accent5 4 4 3" xfId="3942" xr:uid="{00000000-0005-0000-0000-000033060000}"/>
    <cellStyle name="Accent5 4 5" xfId="1323" xr:uid="{00000000-0005-0000-0000-000034060000}"/>
    <cellStyle name="Accent5 4 5 2" xfId="3888" xr:uid="{00000000-0005-0000-0000-000035060000}"/>
    <cellStyle name="Accent5 40" xfId="3224" xr:uid="{00000000-0005-0000-0000-000036060000}"/>
    <cellStyle name="Accent5 40 2" xfId="3803" xr:uid="{00000000-0005-0000-0000-000037060000}"/>
    <cellStyle name="Accent5 40 2 2" xfId="4440" xr:uid="{00000000-0005-0000-0000-000038060000}"/>
    <cellStyle name="Accent5 41" xfId="3225" xr:uid="{00000000-0005-0000-0000-000039060000}"/>
    <cellStyle name="Accent5 42" xfId="3558" xr:uid="{00000000-0005-0000-0000-00003A060000}"/>
    <cellStyle name="Accent5 42 2" xfId="4441" xr:uid="{00000000-0005-0000-0000-00003B060000}"/>
    <cellStyle name="Accent5 42 3" xfId="4158" xr:uid="{00000000-0005-0000-0000-00003C060000}"/>
    <cellStyle name="Accent5 43" xfId="3575" xr:uid="{00000000-0005-0000-0000-00003D060000}"/>
    <cellStyle name="Accent5 43 2" xfId="4442" xr:uid="{00000000-0005-0000-0000-00003E060000}"/>
    <cellStyle name="Accent5 43 3" xfId="4087" xr:uid="{00000000-0005-0000-0000-00003F060000}"/>
    <cellStyle name="Accent5 44" xfId="2882" xr:uid="{00000000-0005-0000-0000-000040060000}"/>
    <cellStyle name="Accent5 45" xfId="3580" xr:uid="{00000000-0005-0000-0000-000041060000}"/>
    <cellStyle name="Accent5 46" xfId="3586" xr:uid="{00000000-0005-0000-0000-000042060000}"/>
    <cellStyle name="Accent5 47" xfId="2838" xr:uid="{00000000-0005-0000-0000-000043060000}"/>
    <cellStyle name="Accent5 47 2" xfId="4085" xr:uid="{00000000-0005-0000-0000-000044060000}"/>
    <cellStyle name="Accent5 48" xfId="2949" xr:uid="{00000000-0005-0000-0000-000045060000}"/>
    <cellStyle name="Accent5 48 2" xfId="4176" xr:uid="{00000000-0005-0000-0000-000046060000}"/>
    <cellStyle name="Accent5 49" xfId="3595" xr:uid="{00000000-0005-0000-0000-000047060000}"/>
    <cellStyle name="Accent5 49 2" xfId="4998" xr:uid="{00000000-0005-0000-0000-000048060000}"/>
    <cellStyle name="Accent5 5" xfId="226" xr:uid="{00000000-0005-0000-0000-000049060000}"/>
    <cellStyle name="Accent5 5 2" xfId="227" xr:uid="{00000000-0005-0000-0000-00004A060000}"/>
    <cellStyle name="Accent5 5 2 2" xfId="1324" xr:uid="{00000000-0005-0000-0000-00004B060000}"/>
    <cellStyle name="Accent5 5 2 2 2" xfId="3226" xr:uid="{00000000-0005-0000-0000-00004C060000}"/>
    <cellStyle name="Accent5 5 2 2 2 2" xfId="4443" xr:uid="{00000000-0005-0000-0000-00004D060000}"/>
    <cellStyle name="Accent5 5 2 2 3" xfId="2335" xr:uid="{00000000-0005-0000-0000-00004E060000}"/>
    <cellStyle name="Accent5 5 2 2 3 2" xfId="4444" xr:uid="{00000000-0005-0000-0000-00004F060000}"/>
    <cellStyle name="Accent5 5 2 3" xfId="1325" xr:uid="{00000000-0005-0000-0000-000050060000}"/>
    <cellStyle name="Accent5 5 3" xfId="1326" xr:uid="{00000000-0005-0000-0000-000051060000}"/>
    <cellStyle name="Accent5 5 3 2" xfId="3227" xr:uid="{00000000-0005-0000-0000-000052060000}"/>
    <cellStyle name="Accent5 5 4" xfId="1327" xr:uid="{00000000-0005-0000-0000-000053060000}"/>
    <cellStyle name="Accent5 5 4 2" xfId="2336" xr:uid="{00000000-0005-0000-0000-000054060000}"/>
    <cellStyle name="Accent5 5 5" xfId="1328" xr:uid="{00000000-0005-0000-0000-000055060000}"/>
    <cellStyle name="Accent5 50" xfId="3594" xr:uid="{00000000-0005-0000-0000-000056060000}"/>
    <cellStyle name="Accent5 50 2" xfId="5051" xr:uid="{00000000-0005-0000-0000-000057060000}"/>
    <cellStyle name="Accent5 51" xfId="2905" xr:uid="{00000000-0005-0000-0000-000058060000}"/>
    <cellStyle name="Accent5 51 2" xfId="5054" xr:uid="{00000000-0005-0000-0000-000059060000}"/>
    <cellStyle name="Accent5 52" xfId="2308" xr:uid="{00000000-0005-0000-0000-00005A060000}"/>
    <cellStyle name="Accent5 53" xfId="2708" xr:uid="{00000000-0005-0000-0000-00005B060000}"/>
    <cellStyle name="Accent5 54" xfId="2212" xr:uid="{00000000-0005-0000-0000-00005C060000}"/>
    <cellStyle name="Accent5 55" xfId="2225" xr:uid="{00000000-0005-0000-0000-00005D060000}"/>
    <cellStyle name="Accent5 56" xfId="3650" xr:uid="{00000000-0005-0000-0000-00005E060000}"/>
    <cellStyle name="Accent5 57" xfId="4137" xr:uid="{00000000-0005-0000-0000-00005F060000}"/>
    <cellStyle name="Accent5 58" xfId="4893" xr:uid="{00000000-0005-0000-0000-000060060000}"/>
    <cellStyle name="Accent5 59" xfId="5050" xr:uid="{00000000-0005-0000-0000-000061060000}"/>
    <cellStyle name="Accent5 6" xfId="228" xr:uid="{00000000-0005-0000-0000-000062060000}"/>
    <cellStyle name="Accent5 6 2" xfId="763" xr:uid="{00000000-0005-0000-0000-000063060000}"/>
    <cellStyle name="Accent5 6 2 2" xfId="3228" xr:uid="{00000000-0005-0000-0000-000064060000}"/>
    <cellStyle name="Accent5 6 3" xfId="3229" xr:uid="{00000000-0005-0000-0000-000065060000}"/>
    <cellStyle name="Accent5 60" xfId="5225" xr:uid="{00000000-0005-0000-0000-000066060000}"/>
    <cellStyle name="Accent5 61" xfId="4669" xr:uid="{00000000-0005-0000-0000-000067060000}"/>
    <cellStyle name="Accent5 62" xfId="5408" xr:uid="{00000000-0005-0000-0000-000068060000}"/>
    <cellStyle name="Accent5 63" xfId="5446" xr:uid="{00000000-0005-0000-0000-000069060000}"/>
    <cellStyle name="Accent5 64" xfId="5540" xr:uid="{00000000-0005-0000-0000-00006A060000}"/>
    <cellStyle name="Accent5 65" xfId="5537" xr:uid="{00000000-0005-0000-0000-00006B060000}"/>
    <cellStyle name="Accent5 66" xfId="5625" xr:uid="{00000000-0005-0000-0000-00006C060000}"/>
    <cellStyle name="Accent5 67" xfId="5595" xr:uid="{00000000-0005-0000-0000-00006D060000}"/>
    <cellStyle name="Accent5 7" xfId="229" xr:uid="{00000000-0005-0000-0000-00006E060000}"/>
    <cellStyle name="Accent5 7 2" xfId="2053" xr:uid="{00000000-0005-0000-0000-00006F060000}"/>
    <cellStyle name="Accent5 7 2 2" xfId="3230" xr:uid="{00000000-0005-0000-0000-000070060000}"/>
    <cellStyle name="Accent5 7 3" xfId="3231" xr:uid="{00000000-0005-0000-0000-000071060000}"/>
    <cellStyle name="Accent5 8" xfId="230" xr:uid="{00000000-0005-0000-0000-000072060000}"/>
    <cellStyle name="Accent5 8 2" xfId="3232" xr:uid="{00000000-0005-0000-0000-000073060000}"/>
    <cellStyle name="Accent5 8 3" xfId="3233" xr:uid="{00000000-0005-0000-0000-000074060000}"/>
    <cellStyle name="Accent5 9" xfId="231" xr:uid="{00000000-0005-0000-0000-000075060000}"/>
    <cellStyle name="Accent5 9 2" xfId="3234" xr:uid="{00000000-0005-0000-0000-000076060000}"/>
    <cellStyle name="Accent5 9 3" xfId="3235" xr:uid="{00000000-0005-0000-0000-000077060000}"/>
    <cellStyle name="Accent6" xfId="232" builtinId="49" customBuiltin="1"/>
    <cellStyle name="Accent6 - 20 %" xfId="233" xr:uid="{00000000-0005-0000-0000-000079060000}"/>
    <cellStyle name="Accent6 - 20 % 2" xfId="234" xr:uid="{00000000-0005-0000-0000-00007A060000}"/>
    <cellStyle name="Accent6 - 20 % 2 2" xfId="235" xr:uid="{00000000-0005-0000-0000-00007B060000}"/>
    <cellStyle name="Accent6 - 20 % 2 2 2" xfId="3236" xr:uid="{00000000-0005-0000-0000-00007C060000}"/>
    <cellStyle name="Accent6 - 20 % 2 3" xfId="1330" xr:uid="{00000000-0005-0000-0000-00007D060000}"/>
    <cellStyle name="Accent6 - 20 % 2 4" xfId="2183" xr:uid="{00000000-0005-0000-0000-00007E060000}"/>
    <cellStyle name="Accent6 - 20 % 3" xfId="236" xr:uid="{00000000-0005-0000-0000-00007F060000}"/>
    <cellStyle name="Accent6 - 20 % 3 2" xfId="3237" xr:uid="{00000000-0005-0000-0000-000080060000}"/>
    <cellStyle name="Accent6 - 20 % 3 3" xfId="3943" xr:uid="{00000000-0005-0000-0000-000081060000}"/>
    <cellStyle name="Accent6 - 20 % 3 4" xfId="3889" xr:uid="{00000000-0005-0000-0000-000082060000}"/>
    <cellStyle name="Accent6 - 20 % 4" xfId="237" xr:uid="{00000000-0005-0000-0000-000083060000}"/>
    <cellStyle name="Accent6 - 20 % 4 2" xfId="2028" xr:uid="{00000000-0005-0000-0000-000084060000}"/>
    <cellStyle name="Accent6 - 20 % 4 3" xfId="2154" xr:uid="{00000000-0005-0000-0000-000085060000}"/>
    <cellStyle name="Accent6 - 20 % 5" xfId="2844" xr:uid="{00000000-0005-0000-0000-000086060000}"/>
    <cellStyle name="Accent6 - 40 %" xfId="238" xr:uid="{00000000-0005-0000-0000-000087060000}"/>
    <cellStyle name="Accent6 - 40 % 2" xfId="239" xr:uid="{00000000-0005-0000-0000-000088060000}"/>
    <cellStyle name="Accent6 - 40 % 2 2" xfId="240" xr:uid="{00000000-0005-0000-0000-000089060000}"/>
    <cellStyle name="Accent6 - 40 % 2 2 2" xfId="3238" xr:uid="{00000000-0005-0000-0000-00008A060000}"/>
    <cellStyle name="Accent6 - 40 % 2 3" xfId="1331" xr:uid="{00000000-0005-0000-0000-00008B060000}"/>
    <cellStyle name="Accent6 - 40 % 2 4" xfId="3956" xr:uid="{00000000-0005-0000-0000-00008C060000}"/>
    <cellStyle name="Accent6 - 40 % 3" xfId="241" xr:uid="{00000000-0005-0000-0000-00008D060000}"/>
    <cellStyle name="Accent6 - 40 % 3 2" xfId="3239" xr:uid="{00000000-0005-0000-0000-00008E060000}"/>
    <cellStyle name="Accent6 - 40 % 3 3" xfId="3944" xr:uid="{00000000-0005-0000-0000-00008F060000}"/>
    <cellStyle name="Accent6 - 40 % 3 4" xfId="3890" xr:uid="{00000000-0005-0000-0000-000090060000}"/>
    <cellStyle name="Accent6 - 40 % 4" xfId="242" xr:uid="{00000000-0005-0000-0000-000091060000}"/>
    <cellStyle name="Accent6 - 40 % 4 2" xfId="4080" xr:uid="{00000000-0005-0000-0000-000092060000}"/>
    <cellStyle name="Accent6 - 40 % 4 3" xfId="2442" xr:uid="{00000000-0005-0000-0000-000093060000}"/>
    <cellStyle name="Accent6 - 40 % 5" xfId="2845" xr:uid="{00000000-0005-0000-0000-000094060000}"/>
    <cellStyle name="Accent6 - 60 %" xfId="243" xr:uid="{00000000-0005-0000-0000-000095060000}"/>
    <cellStyle name="Accent6 - 60 % 2" xfId="244" xr:uid="{00000000-0005-0000-0000-000096060000}"/>
    <cellStyle name="Accent6 - 60 % 2 2" xfId="3241" xr:uid="{00000000-0005-0000-0000-000097060000}"/>
    <cellStyle name="Accent6 - 60 % 2 3" xfId="3242" xr:uid="{00000000-0005-0000-0000-000098060000}"/>
    <cellStyle name="Accent6 - 60 % 2 4" xfId="2886" xr:uid="{00000000-0005-0000-0000-000099060000}"/>
    <cellStyle name="Accent6 - 60 % 2 5" xfId="2847" xr:uid="{00000000-0005-0000-0000-00009A060000}"/>
    <cellStyle name="Accent6 - 60 % 3" xfId="245" xr:uid="{00000000-0005-0000-0000-00009B060000}"/>
    <cellStyle name="Accent6 - 60 % 3 2" xfId="3243" xr:uid="{00000000-0005-0000-0000-00009C060000}"/>
    <cellStyle name="Accent6 - 60 % 3 3" xfId="3946" xr:uid="{00000000-0005-0000-0000-00009D060000}"/>
    <cellStyle name="Accent6 - 60 % 3 4" xfId="3891" xr:uid="{00000000-0005-0000-0000-00009E060000}"/>
    <cellStyle name="Accent6 - 60 % 4" xfId="246" xr:uid="{00000000-0005-0000-0000-00009F060000}"/>
    <cellStyle name="Accent6 - 60 % 5" xfId="2846" xr:uid="{00000000-0005-0000-0000-0000A0060000}"/>
    <cellStyle name="Accent6 10" xfId="247" xr:uid="{00000000-0005-0000-0000-0000A1060000}"/>
    <cellStyle name="Accent6 11" xfId="248" xr:uid="{00000000-0005-0000-0000-0000A2060000}"/>
    <cellStyle name="Accent6 12" xfId="249" xr:uid="{00000000-0005-0000-0000-0000A3060000}"/>
    <cellStyle name="Accent6 13" xfId="250" xr:uid="{00000000-0005-0000-0000-0000A4060000}"/>
    <cellStyle name="Accent6 14" xfId="251" xr:uid="{00000000-0005-0000-0000-0000A5060000}"/>
    <cellStyle name="Accent6 14 2" xfId="3245" xr:uid="{00000000-0005-0000-0000-0000A6060000}"/>
    <cellStyle name="Accent6 15" xfId="252" xr:uid="{00000000-0005-0000-0000-0000A7060000}"/>
    <cellStyle name="Accent6 15 2" xfId="3246" xr:uid="{00000000-0005-0000-0000-0000A8060000}"/>
    <cellStyle name="Accent6 16" xfId="253" xr:uid="{00000000-0005-0000-0000-0000A9060000}"/>
    <cellStyle name="Accent6 16 2" xfId="3247" xr:uid="{00000000-0005-0000-0000-0000AA060000}"/>
    <cellStyle name="Accent6 17" xfId="254" xr:uid="{00000000-0005-0000-0000-0000AB060000}"/>
    <cellStyle name="Accent6 18" xfId="255" xr:uid="{00000000-0005-0000-0000-0000AC060000}"/>
    <cellStyle name="Accent6 18 2" xfId="3248" xr:uid="{00000000-0005-0000-0000-0000AD060000}"/>
    <cellStyle name="Accent6 19" xfId="256" xr:uid="{00000000-0005-0000-0000-0000AE060000}"/>
    <cellStyle name="Accent6 19 2" xfId="1332" xr:uid="{00000000-0005-0000-0000-0000AF060000}"/>
    <cellStyle name="Accent6 19 2 2" xfId="3249" xr:uid="{00000000-0005-0000-0000-0000B0060000}"/>
    <cellStyle name="Accent6 19 3" xfId="2887" xr:uid="{00000000-0005-0000-0000-0000B1060000}"/>
    <cellStyle name="Accent6 2" xfId="257" xr:uid="{00000000-0005-0000-0000-0000B2060000}"/>
    <cellStyle name="Accent6 2 2" xfId="258" xr:uid="{00000000-0005-0000-0000-0000B3060000}"/>
    <cellStyle name="Accent6 2 2 2" xfId="1333" xr:uid="{00000000-0005-0000-0000-0000B4060000}"/>
    <cellStyle name="Accent6 2 2 2 2" xfId="3250" xr:uid="{00000000-0005-0000-0000-0000B5060000}"/>
    <cellStyle name="Accent6 2 2 2 2 2" xfId="4446" xr:uid="{00000000-0005-0000-0000-0000B6060000}"/>
    <cellStyle name="Accent6 2 2 2 3" xfId="2351" xr:uid="{00000000-0005-0000-0000-0000B7060000}"/>
    <cellStyle name="Accent6 2 2 3" xfId="1334" xr:uid="{00000000-0005-0000-0000-0000B8060000}"/>
    <cellStyle name="Accent6 2 3" xfId="259" xr:uid="{00000000-0005-0000-0000-0000B9060000}"/>
    <cellStyle name="Accent6 2 3 2" xfId="1335" xr:uid="{00000000-0005-0000-0000-0000BA060000}"/>
    <cellStyle name="Accent6 2 3 2 2" xfId="3251" xr:uid="{00000000-0005-0000-0000-0000BB060000}"/>
    <cellStyle name="Accent6 2 3 2 2 2" xfId="4447" xr:uid="{00000000-0005-0000-0000-0000BC060000}"/>
    <cellStyle name="Accent6 2 3 2 3" xfId="2353" xr:uid="{00000000-0005-0000-0000-0000BD060000}"/>
    <cellStyle name="Accent6 2 3 2 3 2" xfId="4448" xr:uid="{00000000-0005-0000-0000-0000BE060000}"/>
    <cellStyle name="Accent6 2 3 3" xfId="1336" xr:uid="{00000000-0005-0000-0000-0000BF060000}"/>
    <cellStyle name="Accent6 2 4" xfId="1337" xr:uid="{00000000-0005-0000-0000-0000C0060000}"/>
    <cellStyle name="Accent6 2 4 2" xfId="1338" xr:uid="{00000000-0005-0000-0000-0000C1060000}"/>
    <cellStyle name="Accent6 2 4 2 2" xfId="3252" xr:uid="{00000000-0005-0000-0000-0000C2060000}"/>
    <cellStyle name="Accent6 2 4 2 2 2" xfId="4449" xr:uid="{00000000-0005-0000-0000-0000C3060000}"/>
    <cellStyle name="Accent6 2 4 2 3" xfId="2355" xr:uid="{00000000-0005-0000-0000-0000C4060000}"/>
    <cellStyle name="Accent6 2 4 2 3 2" xfId="4450" xr:uid="{00000000-0005-0000-0000-0000C5060000}"/>
    <cellStyle name="Accent6 2 4 3" xfId="1339" xr:uid="{00000000-0005-0000-0000-0000C6060000}"/>
    <cellStyle name="Accent6 2 5" xfId="1340" xr:uid="{00000000-0005-0000-0000-0000C7060000}"/>
    <cellStyle name="Accent6 2 5 2" xfId="2378" xr:uid="{00000000-0005-0000-0000-0000C8060000}"/>
    <cellStyle name="Accent6 2 5 2 2" xfId="4451" xr:uid="{00000000-0005-0000-0000-0000C9060000}"/>
    <cellStyle name="Accent6 2 5 3" xfId="5714" xr:uid="{00000000-0005-0000-0000-0000CA060000}"/>
    <cellStyle name="Accent6 2 6" xfId="1341" xr:uid="{00000000-0005-0000-0000-0000CB060000}"/>
    <cellStyle name="Accent6 2 7" xfId="1342" xr:uid="{00000000-0005-0000-0000-0000CC060000}"/>
    <cellStyle name="Accent6 2 7 2" xfId="1343" xr:uid="{00000000-0005-0000-0000-0000CD060000}"/>
    <cellStyle name="Accent6 2 8" xfId="1344" xr:uid="{00000000-0005-0000-0000-0000CE060000}"/>
    <cellStyle name="Accent6 2 8 2" xfId="2358" xr:uid="{00000000-0005-0000-0000-0000CF060000}"/>
    <cellStyle name="Accent6 2 9" xfId="1345" xr:uid="{00000000-0005-0000-0000-0000D0060000}"/>
    <cellStyle name="Accent6 20" xfId="260" xr:uid="{00000000-0005-0000-0000-0000D1060000}"/>
    <cellStyle name="Accent6 20 2" xfId="1346" xr:uid="{00000000-0005-0000-0000-0000D2060000}"/>
    <cellStyle name="Accent6 20 2 2" xfId="3253" xr:uid="{00000000-0005-0000-0000-0000D3060000}"/>
    <cellStyle name="Accent6 20 2 3" xfId="4452" xr:uid="{00000000-0005-0000-0000-0000D4060000}"/>
    <cellStyle name="Accent6 20 3" xfId="2359" xr:uid="{00000000-0005-0000-0000-0000D5060000}"/>
    <cellStyle name="Accent6 20 3 2" xfId="4453" xr:uid="{00000000-0005-0000-0000-0000D6060000}"/>
    <cellStyle name="Accent6 21" xfId="1347" xr:uid="{00000000-0005-0000-0000-0000D7060000}"/>
    <cellStyle name="Accent6 21 2" xfId="3254" xr:uid="{00000000-0005-0000-0000-0000D8060000}"/>
    <cellStyle name="Accent6 21 2 2" xfId="4454" xr:uid="{00000000-0005-0000-0000-0000D9060000}"/>
    <cellStyle name="Accent6 21 3" xfId="2360" xr:uid="{00000000-0005-0000-0000-0000DA060000}"/>
    <cellStyle name="Accent6 22" xfId="1329" xr:uid="{00000000-0005-0000-0000-0000DB060000}"/>
    <cellStyle name="Accent6 22 2" xfId="3255" xr:uid="{00000000-0005-0000-0000-0000DC060000}"/>
    <cellStyle name="Accent6 23" xfId="760" xr:uid="{00000000-0005-0000-0000-0000DD060000}"/>
    <cellStyle name="Accent6 23 2" xfId="3256" xr:uid="{00000000-0005-0000-0000-0000DE060000}"/>
    <cellStyle name="Accent6 24" xfId="2089" xr:uid="{00000000-0005-0000-0000-0000DF060000}"/>
    <cellStyle name="Accent6 25" xfId="2026" xr:uid="{00000000-0005-0000-0000-0000E0060000}"/>
    <cellStyle name="Accent6 25 2" xfId="3257" xr:uid="{00000000-0005-0000-0000-0000E1060000}"/>
    <cellStyle name="Accent6 26" xfId="3258" xr:uid="{00000000-0005-0000-0000-0000E2060000}"/>
    <cellStyle name="Accent6 27" xfId="3259" xr:uid="{00000000-0005-0000-0000-0000E3060000}"/>
    <cellStyle name="Accent6 28" xfId="3260" xr:uid="{00000000-0005-0000-0000-0000E4060000}"/>
    <cellStyle name="Accent6 29" xfId="3261" xr:uid="{00000000-0005-0000-0000-0000E5060000}"/>
    <cellStyle name="Accent6 3" xfId="261" xr:uid="{00000000-0005-0000-0000-0000E6060000}"/>
    <cellStyle name="Accent6 3 2" xfId="262" xr:uid="{00000000-0005-0000-0000-0000E7060000}"/>
    <cellStyle name="Accent6 3 2 2" xfId="1348" xr:uid="{00000000-0005-0000-0000-0000E8060000}"/>
    <cellStyle name="Accent6 3 2 2 2" xfId="3262" xr:uid="{00000000-0005-0000-0000-0000E9060000}"/>
    <cellStyle name="Accent6 3 2 3" xfId="1349" xr:uid="{00000000-0005-0000-0000-0000EA060000}"/>
    <cellStyle name="Accent6 3 2 3 2" xfId="2364" xr:uid="{00000000-0005-0000-0000-0000EB060000}"/>
    <cellStyle name="Accent6 3 2 4" xfId="1350" xr:uid="{00000000-0005-0000-0000-0000EC060000}"/>
    <cellStyle name="Accent6 3 3" xfId="1351" xr:uid="{00000000-0005-0000-0000-0000ED060000}"/>
    <cellStyle name="Accent6 3 3 2" xfId="1352" xr:uid="{00000000-0005-0000-0000-0000EE060000}"/>
    <cellStyle name="Accent6 3 3 2 2" xfId="3263" xr:uid="{00000000-0005-0000-0000-0000EF060000}"/>
    <cellStyle name="Accent6 3 3 3" xfId="1353" xr:uid="{00000000-0005-0000-0000-0000F0060000}"/>
    <cellStyle name="Accent6 3 3 3 2" xfId="2367" xr:uid="{00000000-0005-0000-0000-0000F1060000}"/>
    <cellStyle name="Accent6 3 3 4" xfId="1354" xr:uid="{00000000-0005-0000-0000-0000F2060000}"/>
    <cellStyle name="Accent6 3 4" xfId="1355" xr:uid="{00000000-0005-0000-0000-0000F3060000}"/>
    <cellStyle name="Accent6 3 4 2" xfId="2368" xr:uid="{00000000-0005-0000-0000-0000F4060000}"/>
    <cellStyle name="Accent6 3 4 3" xfId="2587" xr:uid="{00000000-0005-0000-0000-0000F5060000}"/>
    <cellStyle name="Accent6 3 4 3 2" xfId="4455" xr:uid="{00000000-0005-0000-0000-0000F6060000}"/>
    <cellStyle name="Accent6 3 5" xfId="1356" xr:uid="{00000000-0005-0000-0000-0000F7060000}"/>
    <cellStyle name="Accent6 30" xfId="3264" xr:uid="{00000000-0005-0000-0000-0000F8060000}"/>
    <cellStyle name="Accent6 31" xfId="3265" xr:uid="{00000000-0005-0000-0000-0000F9060000}"/>
    <cellStyle name="Accent6 32" xfId="3266" xr:uid="{00000000-0005-0000-0000-0000FA060000}"/>
    <cellStyle name="Accent6 33" xfId="3267" xr:uid="{00000000-0005-0000-0000-0000FB060000}"/>
    <cellStyle name="Accent6 34" xfId="3268" xr:uid="{00000000-0005-0000-0000-0000FC060000}"/>
    <cellStyle name="Accent6 35" xfId="3269" xr:uid="{00000000-0005-0000-0000-0000FD060000}"/>
    <cellStyle name="Accent6 36" xfId="3270" xr:uid="{00000000-0005-0000-0000-0000FE060000}"/>
    <cellStyle name="Accent6 37" xfId="3271" xr:uid="{00000000-0005-0000-0000-0000FF060000}"/>
    <cellStyle name="Accent6 38" xfId="3272" xr:uid="{00000000-0005-0000-0000-000000070000}"/>
    <cellStyle name="Accent6 39" xfId="3273" xr:uid="{00000000-0005-0000-0000-000001070000}"/>
    <cellStyle name="Accent6 4" xfId="263" xr:uid="{00000000-0005-0000-0000-000002070000}"/>
    <cellStyle name="Accent6 4 2" xfId="264" xr:uid="{00000000-0005-0000-0000-000003070000}"/>
    <cellStyle name="Accent6 4 2 2" xfId="1357" xr:uid="{00000000-0005-0000-0000-000004070000}"/>
    <cellStyle name="Accent6 4 2 2 2" xfId="2370" xr:uid="{00000000-0005-0000-0000-000005070000}"/>
    <cellStyle name="Accent6 4 2 3" xfId="1358" xr:uid="{00000000-0005-0000-0000-000006070000}"/>
    <cellStyle name="Accent6 4 3" xfId="1359" xr:uid="{00000000-0005-0000-0000-000007070000}"/>
    <cellStyle name="Accent6 4 4" xfId="1360" xr:uid="{00000000-0005-0000-0000-000008070000}"/>
    <cellStyle name="Accent6 4 4 2" xfId="2372" xr:uid="{00000000-0005-0000-0000-000009070000}"/>
    <cellStyle name="Accent6 4 4 3" xfId="3947" xr:uid="{00000000-0005-0000-0000-00000A070000}"/>
    <cellStyle name="Accent6 4 5" xfId="1361" xr:uid="{00000000-0005-0000-0000-00000B070000}"/>
    <cellStyle name="Accent6 4 5 2" xfId="3892" xr:uid="{00000000-0005-0000-0000-00000C070000}"/>
    <cellStyle name="Accent6 40" xfId="3274" xr:uid="{00000000-0005-0000-0000-00000D070000}"/>
    <cellStyle name="Accent6 40 2" xfId="2180" xr:uid="{00000000-0005-0000-0000-00000E070000}"/>
    <cellStyle name="Accent6 40 2 2" xfId="4456" xr:uid="{00000000-0005-0000-0000-00000F070000}"/>
    <cellStyle name="Accent6 41" xfId="3275" xr:uid="{00000000-0005-0000-0000-000010070000}"/>
    <cellStyle name="Accent6 42" xfId="3559" xr:uid="{00000000-0005-0000-0000-000011070000}"/>
    <cellStyle name="Accent6 42 2" xfId="4457" xr:uid="{00000000-0005-0000-0000-000012070000}"/>
    <cellStyle name="Accent6 42 3" xfId="4162" xr:uid="{00000000-0005-0000-0000-000013070000}"/>
    <cellStyle name="Accent6 43" xfId="3576" xr:uid="{00000000-0005-0000-0000-000014070000}"/>
    <cellStyle name="Accent6 43 2" xfId="4458" xr:uid="{00000000-0005-0000-0000-000015070000}"/>
    <cellStyle name="Accent6 43 3" xfId="4155" xr:uid="{00000000-0005-0000-0000-000016070000}"/>
    <cellStyle name="Accent6 44" xfId="2885" xr:uid="{00000000-0005-0000-0000-000017070000}"/>
    <cellStyle name="Accent6 45" xfId="3581" xr:uid="{00000000-0005-0000-0000-000018070000}"/>
    <cellStyle name="Accent6 46" xfId="3585" xr:uid="{00000000-0005-0000-0000-000019070000}"/>
    <cellStyle name="Accent6 47" xfId="2843" xr:uid="{00000000-0005-0000-0000-00001A070000}"/>
    <cellStyle name="Accent6 47 2" xfId="4154" xr:uid="{00000000-0005-0000-0000-00001B070000}"/>
    <cellStyle name="Accent6 48" xfId="2948" xr:uid="{00000000-0005-0000-0000-00001C070000}"/>
    <cellStyle name="Accent6 48 2" xfId="4445" xr:uid="{00000000-0005-0000-0000-00001D070000}"/>
    <cellStyle name="Accent6 49" xfId="3588" xr:uid="{00000000-0005-0000-0000-00001E070000}"/>
    <cellStyle name="Accent6 49 2" xfId="4999" xr:uid="{00000000-0005-0000-0000-00001F070000}"/>
    <cellStyle name="Accent6 5" xfId="265" xr:uid="{00000000-0005-0000-0000-000020070000}"/>
    <cellStyle name="Accent6 5 2" xfId="266" xr:uid="{00000000-0005-0000-0000-000021070000}"/>
    <cellStyle name="Accent6 5 2 2" xfId="1362" xr:uid="{00000000-0005-0000-0000-000022070000}"/>
    <cellStyle name="Accent6 5 2 2 2" xfId="3276" xr:uid="{00000000-0005-0000-0000-000023070000}"/>
    <cellStyle name="Accent6 5 2 2 2 2" xfId="4459" xr:uid="{00000000-0005-0000-0000-000024070000}"/>
    <cellStyle name="Accent6 5 2 2 3" xfId="2373" xr:uid="{00000000-0005-0000-0000-000025070000}"/>
    <cellStyle name="Accent6 5 2 2 3 2" xfId="4460" xr:uid="{00000000-0005-0000-0000-000026070000}"/>
    <cellStyle name="Accent6 5 2 3" xfId="1363" xr:uid="{00000000-0005-0000-0000-000027070000}"/>
    <cellStyle name="Accent6 5 3" xfId="1364" xr:uid="{00000000-0005-0000-0000-000028070000}"/>
    <cellStyle name="Accent6 5 3 2" xfId="3277" xr:uid="{00000000-0005-0000-0000-000029070000}"/>
    <cellStyle name="Accent6 5 4" xfId="1365" xr:uid="{00000000-0005-0000-0000-00002A070000}"/>
    <cellStyle name="Accent6 5 4 2" xfId="2374" xr:uid="{00000000-0005-0000-0000-00002B070000}"/>
    <cellStyle name="Accent6 5 5" xfId="1366" xr:uid="{00000000-0005-0000-0000-00002C070000}"/>
    <cellStyle name="Accent6 50" xfId="2954" xr:uid="{00000000-0005-0000-0000-00002D070000}"/>
    <cellStyle name="Accent6 50 2" xfId="5008" xr:uid="{00000000-0005-0000-0000-00002E070000}"/>
    <cellStyle name="Accent6 51" xfId="2900" xr:uid="{00000000-0005-0000-0000-00002F070000}"/>
    <cellStyle name="Accent6 51 2" xfId="5132" xr:uid="{00000000-0005-0000-0000-000030070000}"/>
    <cellStyle name="Accent6 52" xfId="2340" xr:uid="{00000000-0005-0000-0000-000031070000}"/>
    <cellStyle name="Accent6 53" xfId="2699" xr:uid="{00000000-0005-0000-0000-000032070000}"/>
    <cellStyle name="Accent6 54" xfId="3660" xr:uid="{00000000-0005-0000-0000-000033070000}"/>
    <cellStyle name="Accent6 55" xfId="2255" xr:uid="{00000000-0005-0000-0000-000034070000}"/>
    <cellStyle name="Accent6 56" xfId="2337" xr:uid="{00000000-0005-0000-0000-000035070000}"/>
    <cellStyle name="Accent6 57" xfId="4136" xr:uid="{00000000-0005-0000-0000-000036070000}"/>
    <cellStyle name="Accent6 58" xfId="4889" xr:uid="{00000000-0005-0000-0000-000037070000}"/>
    <cellStyle name="Accent6 59" xfId="4578" xr:uid="{00000000-0005-0000-0000-000038070000}"/>
    <cellStyle name="Accent6 6" xfId="267" xr:uid="{00000000-0005-0000-0000-000039070000}"/>
    <cellStyle name="Accent6 6 2" xfId="761" xr:uid="{00000000-0005-0000-0000-00003A070000}"/>
    <cellStyle name="Accent6 6 2 2" xfId="3278" xr:uid="{00000000-0005-0000-0000-00003B070000}"/>
    <cellStyle name="Accent6 6 3" xfId="3279" xr:uid="{00000000-0005-0000-0000-00003C070000}"/>
    <cellStyle name="Accent6 60" xfId="5230" xr:uid="{00000000-0005-0000-0000-00003D070000}"/>
    <cellStyle name="Accent6 61" xfId="5224" xr:uid="{00000000-0005-0000-0000-00003E070000}"/>
    <cellStyle name="Accent6 62" xfId="5409" xr:uid="{00000000-0005-0000-0000-00003F070000}"/>
    <cellStyle name="Accent6 63" xfId="5445" xr:uid="{00000000-0005-0000-0000-000040070000}"/>
    <cellStyle name="Accent6 64" xfId="5539" xr:uid="{00000000-0005-0000-0000-000041070000}"/>
    <cellStyle name="Accent6 65" xfId="5538" xr:uid="{00000000-0005-0000-0000-000042070000}"/>
    <cellStyle name="Accent6 66" xfId="5624" xr:uid="{00000000-0005-0000-0000-000043070000}"/>
    <cellStyle name="Accent6 67" xfId="5596" xr:uid="{00000000-0005-0000-0000-000044070000}"/>
    <cellStyle name="Accent6 7" xfId="268" xr:uid="{00000000-0005-0000-0000-000045070000}"/>
    <cellStyle name="Accent6 7 2" xfId="2060" xr:uid="{00000000-0005-0000-0000-000046070000}"/>
    <cellStyle name="Accent6 7 2 2" xfId="3280" xr:uid="{00000000-0005-0000-0000-000047070000}"/>
    <cellStyle name="Accent6 7 3" xfId="3281" xr:uid="{00000000-0005-0000-0000-000048070000}"/>
    <cellStyle name="Accent6 8" xfId="269" xr:uid="{00000000-0005-0000-0000-000049070000}"/>
    <cellStyle name="Accent6 8 2" xfId="3282" xr:uid="{00000000-0005-0000-0000-00004A070000}"/>
    <cellStyle name="Accent6 8 3" xfId="3283" xr:uid="{00000000-0005-0000-0000-00004B070000}"/>
    <cellStyle name="Accent6 9" xfId="270" xr:uid="{00000000-0005-0000-0000-00004C070000}"/>
    <cellStyle name="Accent6 9 2" xfId="3284" xr:uid="{00000000-0005-0000-0000-00004D070000}"/>
    <cellStyle name="Accent6 9 3" xfId="3285" xr:uid="{00000000-0005-0000-0000-00004E070000}"/>
    <cellStyle name="AFE" xfId="1367" xr:uid="{00000000-0005-0000-0000-00004F070000}"/>
    <cellStyle name="AFE 10" xfId="1368" xr:uid="{00000000-0005-0000-0000-000050070000}"/>
    <cellStyle name="AFE 11" xfId="1369" xr:uid="{00000000-0005-0000-0000-000051070000}"/>
    <cellStyle name="AFE 12" xfId="1370" xr:uid="{00000000-0005-0000-0000-000052070000}"/>
    <cellStyle name="AFE 12 2" xfId="1371" xr:uid="{00000000-0005-0000-0000-000053070000}"/>
    <cellStyle name="AFE 12 3" xfId="1372" xr:uid="{00000000-0005-0000-0000-000054070000}"/>
    <cellStyle name="AFE 2" xfId="1373" xr:uid="{00000000-0005-0000-0000-000055070000}"/>
    <cellStyle name="AFE 2 2" xfId="1374" xr:uid="{00000000-0005-0000-0000-000056070000}"/>
    <cellStyle name="AFE 2 2 2" xfId="1375" xr:uid="{00000000-0005-0000-0000-000057070000}"/>
    <cellStyle name="AFE 2 2 2 2" xfId="1376" xr:uid="{00000000-0005-0000-0000-000058070000}"/>
    <cellStyle name="AFE 2 2 2 2 2" xfId="1377" xr:uid="{00000000-0005-0000-0000-000059070000}"/>
    <cellStyle name="AFE 2 2 2 2 2 2" xfId="1378" xr:uid="{00000000-0005-0000-0000-00005A070000}"/>
    <cellStyle name="AFE 2 2 2 2 2 2 2" xfId="1379" xr:uid="{00000000-0005-0000-0000-00005B070000}"/>
    <cellStyle name="AFE 2 2 2 2 3" xfId="1380" xr:uid="{00000000-0005-0000-0000-00005C070000}"/>
    <cellStyle name="AFE 2 2 2 2 4" xfId="1381" xr:uid="{00000000-0005-0000-0000-00005D070000}"/>
    <cellStyle name="AFE 2 2 2 3" xfId="1382" xr:uid="{00000000-0005-0000-0000-00005E070000}"/>
    <cellStyle name="AFE 2 2 2 3 2" xfId="1383" xr:uid="{00000000-0005-0000-0000-00005F070000}"/>
    <cellStyle name="AFE 2 2 2 4" xfId="1384" xr:uid="{00000000-0005-0000-0000-000060070000}"/>
    <cellStyle name="AFE 2 2 3" xfId="1385" xr:uid="{00000000-0005-0000-0000-000061070000}"/>
    <cellStyle name="AFE 2 2 3 2" xfId="1386" xr:uid="{00000000-0005-0000-0000-000062070000}"/>
    <cellStyle name="AFE 2 2 4" xfId="1387" xr:uid="{00000000-0005-0000-0000-000063070000}"/>
    <cellStyle name="AFE 2 3" xfId="1388" xr:uid="{00000000-0005-0000-0000-000064070000}"/>
    <cellStyle name="AFE 2 3 2" xfId="1389" xr:uid="{00000000-0005-0000-0000-000065070000}"/>
    <cellStyle name="AFE 2 4" xfId="1390" xr:uid="{00000000-0005-0000-0000-000066070000}"/>
    <cellStyle name="AFE 2 4 2" xfId="1391" xr:uid="{00000000-0005-0000-0000-000067070000}"/>
    <cellStyle name="AFE 2_Suivi cpta investissements QIII 2009.06" xfId="1392" xr:uid="{00000000-0005-0000-0000-000068070000}"/>
    <cellStyle name="AFE 3" xfId="1393" xr:uid="{00000000-0005-0000-0000-000069070000}"/>
    <cellStyle name="AFE 4" xfId="1394" xr:uid="{00000000-0005-0000-0000-00006A070000}"/>
    <cellStyle name="AFE 5" xfId="1395" xr:uid="{00000000-0005-0000-0000-00006B070000}"/>
    <cellStyle name="AFE 5 2" xfId="1396" xr:uid="{00000000-0005-0000-0000-00006C070000}"/>
    <cellStyle name="AFE 6" xfId="1397" xr:uid="{00000000-0005-0000-0000-00006D070000}"/>
    <cellStyle name="AFE 6 2" xfId="1398" xr:uid="{00000000-0005-0000-0000-00006E070000}"/>
    <cellStyle name="AFE 7" xfId="1399" xr:uid="{00000000-0005-0000-0000-00006F070000}"/>
    <cellStyle name="AFE 7 2" xfId="1400" xr:uid="{00000000-0005-0000-0000-000070070000}"/>
    <cellStyle name="AFE 8" xfId="1401" xr:uid="{00000000-0005-0000-0000-000071070000}"/>
    <cellStyle name="AFE 8 2" xfId="1402" xr:uid="{00000000-0005-0000-0000-000072070000}"/>
    <cellStyle name="AFE 9" xfId="1403" xr:uid="{00000000-0005-0000-0000-000073070000}"/>
    <cellStyle name="AFE 9 2" xfId="1404" xr:uid="{00000000-0005-0000-0000-000074070000}"/>
    <cellStyle name="AFE_Feuil1" xfId="1405" xr:uid="{00000000-0005-0000-0000-000075070000}"/>
    <cellStyle name="Avertissement" xfId="271" builtinId="11" customBuiltin="1"/>
    <cellStyle name="Avertissement 2" xfId="272" xr:uid="{00000000-0005-0000-0000-000077070000}"/>
    <cellStyle name="Avertissement 2 2" xfId="273" xr:uid="{00000000-0005-0000-0000-000078070000}"/>
    <cellStyle name="Avertissement 2 2 2" xfId="1407" xr:uid="{00000000-0005-0000-0000-000079070000}"/>
    <cellStyle name="Avertissement 2 2 2 2" xfId="3286" xr:uid="{00000000-0005-0000-0000-00007A070000}"/>
    <cellStyle name="Avertissement 2 2 2 2 2" xfId="4462" xr:uid="{00000000-0005-0000-0000-00007B070000}"/>
    <cellStyle name="Avertissement 2 2 2 3" xfId="2386" xr:uid="{00000000-0005-0000-0000-00007C070000}"/>
    <cellStyle name="Avertissement 2 2 3" xfId="1408" xr:uid="{00000000-0005-0000-0000-00007D070000}"/>
    <cellStyle name="Avertissement 2 3" xfId="274" xr:uid="{00000000-0005-0000-0000-00007E070000}"/>
    <cellStyle name="Avertissement 2 3 2" xfId="1409" xr:uid="{00000000-0005-0000-0000-00007F070000}"/>
    <cellStyle name="Avertissement 2 3 2 2" xfId="3287" xr:uid="{00000000-0005-0000-0000-000080070000}"/>
    <cellStyle name="Avertissement 2 3 2 2 2" xfId="4463" xr:uid="{00000000-0005-0000-0000-000081070000}"/>
    <cellStyle name="Avertissement 2 3 2 3" xfId="2388" xr:uid="{00000000-0005-0000-0000-000082070000}"/>
    <cellStyle name="Avertissement 2 3 2 3 2" xfId="4464" xr:uid="{00000000-0005-0000-0000-000083070000}"/>
    <cellStyle name="Avertissement 2 3 3" xfId="1410" xr:uid="{00000000-0005-0000-0000-000084070000}"/>
    <cellStyle name="Avertissement 2 4" xfId="1411" xr:uid="{00000000-0005-0000-0000-000085070000}"/>
    <cellStyle name="Avertissement 2 4 2" xfId="1412" xr:uid="{00000000-0005-0000-0000-000086070000}"/>
    <cellStyle name="Avertissement 2 4 2 2" xfId="3288" xr:uid="{00000000-0005-0000-0000-000087070000}"/>
    <cellStyle name="Avertissement 2 4 2 2 2" xfId="4465" xr:uid="{00000000-0005-0000-0000-000088070000}"/>
    <cellStyle name="Avertissement 2 4 2 3" xfId="2390" xr:uid="{00000000-0005-0000-0000-000089070000}"/>
    <cellStyle name="Avertissement 2 4 2 3 2" xfId="4466" xr:uid="{00000000-0005-0000-0000-00008A070000}"/>
    <cellStyle name="Avertissement 2 4 3" xfId="1413" xr:uid="{00000000-0005-0000-0000-00008B070000}"/>
    <cellStyle name="Avertissement 2 5" xfId="1414" xr:uid="{00000000-0005-0000-0000-00008C070000}"/>
    <cellStyle name="Avertissement 2 5 2" xfId="2226" xr:uid="{00000000-0005-0000-0000-00008D070000}"/>
    <cellStyle name="Avertissement 2 5 2 2" xfId="4467" xr:uid="{00000000-0005-0000-0000-00008E070000}"/>
    <cellStyle name="Avertissement 2 5 3" xfId="5715" xr:uid="{00000000-0005-0000-0000-00008F070000}"/>
    <cellStyle name="Avertissement 2 6" xfId="1415" xr:uid="{00000000-0005-0000-0000-000090070000}"/>
    <cellStyle name="Avertissement 2 7" xfId="1416" xr:uid="{00000000-0005-0000-0000-000091070000}"/>
    <cellStyle name="Avertissement 2 7 2" xfId="1417" xr:uid="{00000000-0005-0000-0000-000092070000}"/>
    <cellStyle name="Avertissement 2 8" xfId="1418" xr:uid="{00000000-0005-0000-0000-000093070000}"/>
    <cellStyle name="Avertissement 2 8 2" xfId="2395" xr:uid="{00000000-0005-0000-0000-000094070000}"/>
    <cellStyle name="Avertissement 2 9" xfId="1419" xr:uid="{00000000-0005-0000-0000-000095070000}"/>
    <cellStyle name="Avertissement 3" xfId="275" xr:uid="{00000000-0005-0000-0000-000096070000}"/>
    <cellStyle name="Avertissement 3 2" xfId="1420" xr:uid="{00000000-0005-0000-0000-000097070000}"/>
    <cellStyle name="Avertissement 3 2 2" xfId="1421" xr:uid="{00000000-0005-0000-0000-000098070000}"/>
    <cellStyle name="Avertissement 3 2 3" xfId="3289" xr:uid="{00000000-0005-0000-0000-000099070000}"/>
    <cellStyle name="Avertissement 3 2 4" xfId="2251" xr:uid="{00000000-0005-0000-0000-00009A070000}"/>
    <cellStyle name="Avertissement 3 2 4 2" xfId="4468" xr:uid="{00000000-0005-0000-0000-00009B070000}"/>
    <cellStyle name="Avertissement 3 3" xfId="1422" xr:uid="{00000000-0005-0000-0000-00009C070000}"/>
    <cellStyle name="Avertissement 3 3 2" xfId="1423" xr:uid="{00000000-0005-0000-0000-00009D070000}"/>
    <cellStyle name="Avertissement 3 3 3" xfId="3290" xr:uid="{00000000-0005-0000-0000-00009E070000}"/>
    <cellStyle name="Avertissement 3 4" xfId="1424" xr:uid="{00000000-0005-0000-0000-00009F070000}"/>
    <cellStyle name="Avertissement 3 4 2" xfId="2401" xr:uid="{00000000-0005-0000-0000-0000A0070000}"/>
    <cellStyle name="Avertissement 3 5" xfId="1425" xr:uid="{00000000-0005-0000-0000-0000A1070000}"/>
    <cellStyle name="Avertissement 4" xfId="276" xr:uid="{00000000-0005-0000-0000-0000A2070000}"/>
    <cellStyle name="Avertissement 4 2" xfId="1426" xr:uid="{00000000-0005-0000-0000-0000A3070000}"/>
    <cellStyle name="Avertissement 4 2 2" xfId="3291" xr:uid="{00000000-0005-0000-0000-0000A4070000}"/>
    <cellStyle name="Avertissement 4 3" xfId="1427" xr:uid="{00000000-0005-0000-0000-0000A5070000}"/>
    <cellStyle name="Avertissement 4 3 2" xfId="2403" xr:uid="{00000000-0005-0000-0000-0000A6070000}"/>
    <cellStyle name="Avertissement 4 4" xfId="1428" xr:uid="{00000000-0005-0000-0000-0000A7070000}"/>
    <cellStyle name="Avertissement 5" xfId="277" xr:uid="{00000000-0005-0000-0000-0000A8070000}"/>
    <cellStyle name="Avertissement 5 2" xfId="1429" xr:uid="{00000000-0005-0000-0000-0000A9070000}"/>
    <cellStyle name="Avertissement 5 2 2" xfId="3292" xr:uid="{00000000-0005-0000-0000-0000AA070000}"/>
    <cellStyle name="Avertissement 5 3" xfId="1430" xr:uid="{00000000-0005-0000-0000-0000AB070000}"/>
    <cellStyle name="Avertissement 5 3 2" xfId="2405" xr:uid="{00000000-0005-0000-0000-0000AC070000}"/>
    <cellStyle name="Avertissement 5 4" xfId="1431" xr:uid="{00000000-0005-0000-0000-0000AD070000}"/>
    <cellStyle name="Avertissement 6" xfId="278" xr:uid="{00000000-0005-0000-0000-0000AE070000}"/>
    <cellStyle name="Avertissement 6 2" xfId="782" xr:uid="{00000000-0005-0000-0000-0000AF070000}"/>
    <cellStyle name="Avertissement 6 2 2" xfId="4470" xr:uid="{00000000-0005-0000-0000-0000B0070000}"/>
    <cellStyle name="Avertissement 6 2 3" xfId="4469" xr:uid="{00000000-0005-0000-0000-0000B1070000}"/>
    <cellStyle name="Avertissement 6 3" xfId="3293" xr:uid="{00000000-0005-0000-0000-0000B2070000}"/>
    <cellStyle name="Avertissement 6 4" xfId="2406" xr:uid="{00000000-0005-0000-0000-0000B3070000}"/>
    <cellStyle name="Avertissement 7" xfId="1406" xr:uid="{00000000-0005-0000-0000-0000B4070000}"/>
    <cellStyle name="Avertissement 7 2" xfId="2063" xr:uid="{00000000-0005-0000-0000-0000B5070000}"/>
    <cellStyle name="Avertissement 8" xfId="3296" xr:uid="{00000000-0005-0000-0000-0000B6070000}"/>
    <cellStyle name="Avertissement 9" xfId="4461" xr:uid="{00000000-0005-0000-0000-0000B7070000}"/>
    <cellStyle name="Calcul" xfId="279" builtinId="22" customBuiltin="1"/>
    <cellStyle name="Calcul 10" xfId="2407" xr:uid="{00000000-0005-0000-0000-0000B9070000}"/>
    <cellStyle name="Calcul 10 2" xfId="2783" xr:uid="{00000000-0005-0000-0000-0000BA070000}"/>
    <cellStyle name="Calcul 10 2 2" xfId="6924" xr:uid="{E3A3B41E-AF51-461A-9B00-4F7F36E1E480}"/>
    <cellStyle name="Calcul 10 3" xfId="6734" xr:uid="{1F66A400-A06B-4C47-BC33-FFA65FB24718}"/>
    <cellStyle name="Calcul 11" xfId="2695" xr:uid="{00000000-0005-0000-0000-0000BB070000}"/>
    <cellStyle name="Calcul 11 2" xfId="6893" xr:uid="{15936EC5-5E26-441C-8397-EA382668EB28}"/>
    <cellStyle name="Calcul 12" xfId="4116" xr:uid="{00000000-0005-0000-0000-0000BC070000}"/>
    <cellStyle name="Calcul 12 2" xfId="7389" xr:uid="{3FEDC2D9-B74C-490E-97F7-E4E814ACB879}"/>
    <cellStyle name="Calcul 13" xfId="5243" xr:uid="{00000000-0005-0000-0000-0000BD070000}"/>
    <cellStyle name="Calcul 13 2" xfId="8165" xr:uid="{997DCDE5-6993-4DE0-96BD-B6BF3F67F56E}"/>
    <cellStyle name="Calcul 14" xfId="6178" xr:uid="{9A38FE28-5CFE-4C86-8E53-9D05FBB1C158}"/>
    <cellStyle name="Calcul 2" xfId="280" xr:uid="{00000000-0005-0000-0000-0000BE070000}"/>
    <cellStyle name="Calcul 2 10" xfId="2408" xr:uid="{00000000-0005-0000-0000-0000BF070000}"/>
    <cellStyle name="Calcul 2 10 2" xfId="6735" xr:uid="{47074F49-425F-4583-906F-C6C3FCBFC49B}"/>
    <cellStyle name="Calcul 2 11" xfId="2694" xr:uid="{00000000-0005-0000-0000-0000C0070000}"/>
    <cellStyle name="Calcul 2 11 2" xfId="6892" xr:uid="{39E3D65C-E0CD-405D-A70D-4699856B38DE}"/>
    <cellStyle name="Calcul 2 12" xfId="3713" xr:uid="{00000000-0005-0000-0000-0000C1070000}"/>
    <cellStyle name="Calcul 2 12 2" xfId="7195" xr:uid="{E3B43DC9-37C7-4331-8296-AA8C50A95775}"/>
    <cellStyle name="Calcul 2 13" xfId="4783" xr:uid="{00000000-0005-0000-0000-0000C2070000}"/>
    <cellStyle name="Calcul 2 13 2" xfId="7852" xr:uid="{E85E336E-12A3-4D5B-9A11-D5BE1F8A4185}"/>
    <cellStyle name="Calcul 2 14" xfId="5410" xr:uid="{00000000-0005-0000-0000-0000C3070000}"/>
    <cellStyle name="Calcul 2 14 2" xfId="8327" xr:uid="{2FD97408-76C7-494B-8B70-D12B20C257E4}"/>
    <cellStyle name="Calcul 2 15" xfId="611" xr:uid="{00000000-0005-0000-0000-0000C4070000}"/>
    <cellStyle name="Calcul 2 15 2" xfId="6312" xr:uid="{5A22497C-E4FD-4039-B25F-0345929A2757}"/>
    <cellStyle name="Calcul 2 16" xfId="5716" xr:uid="{00000000-0005-0000-0000-0000C5070000}"/>
    <cellStyle name="Calcul 2 16 2" xfId="8579" xr:uid="{797D3642-D78D-4DC0-8852-CB290E017723}"/>
    <cellStyle name="Calcul 2 17" xfId="5711" xr:uid="{00000000-0005-0000-0000-0000C6070000}"/>
    <cellStyle name="Calcul 2 17 2" xfId="8578" xr:uid="{9C24F1D5-0802-453D-A564-BE921C9CD06F}"/>
    <cellStyle name="Calcul 2 18" xfId="6179" xr:uid="{F0054627-85B7-477B-96CE-9BB3E4569CA1}"/>
    <cellStyle name="Calcul 2 2" xfId="281" xr:uid="{00000000-0005-0000-0000-0000C7070000}"/>
    <cellStyle name="Calcul 2 2 10" xfId="5717" xr:uid="{00000000-0005-0000-0000-0000C8070000}"/>
    <cellStyle name="Calcul 2 2 10 2" xfId="8580" xr:uid="{798AE6B2-5ACF-4CB5-8B62-2F249DA65EA5}"/>
    <cellStyle name="Calcul 2 2 11" xfId="5710" xr:uid="{00000000-0005-0000-0000-0000C9070000}"/>
    <cellStyle name="Calcul 2 2 11 2" xfId="8577" xr:uid="{76292FF9-AADB-467E-854F-6747FA7C3A6A}"/>
    <cellStyle name="Calcul 2 2 12" xfId="6180" xr:uid="{237379E2-CBEA-4A65-A6C2-F1BB2EDBAC00}"/>
    <cellStyle name="Calcul 2 2 2" xfId="1433" xr:uid="{00000000-0005-0000-0000-0000CA070000}"/>
    <cellStyle name="Calcul 2 2 2 2" xfId="2410" xr:uid="{00000000-0005-0000-0000-0000CB070000}"/>
    <cellStyle name="Calcul 2 2 2 2 2" xfId="4473" xr:uid="{00000000-0005-0000-0000-0000CC070000}"/>
    <cellStyle name="Calcul 2 2 2 2 2 2" xfId="7658" xr:uid="{AAC5967B-1178-4241-8BD4-C51B345D48BD}"/>
    <cellStyle name="Calcul 2 2 2 2 3" xfId="6737" xr:uid="{532D3773-D67A-4747-B38D-56D5C02F1A86}"/>
    <cellStyle name="Calcul 2 2 2 3" xfId="2369" xr:uid="{00000000-0005-0000-0000-0000CD070000}"/>
    <cellStyle name="Calcul 2 2 2 3 2" xfId="6717" xr:uid="{70D955FC-6C52-4F71-BA80-CB731665A2E3}"/>
    <cellStyle name="Calcul 2 2 2 4" xfId="4472" xr:uid="{00000000-0005-0000-0000-0000CE070000}"/>
    <cellStyle name="Calcul 2 2 2 4 2" xfId="7657" xr:uid="{BF411F8E-464A-412C-A905-0455440046D9}"/>
    <cellStyle name="Calcul 2 2 2 5" xfId="5452" xr:uid="{00000000-0005-0000-0000-0000CF070000}"/>
    <cellStyle name="Calcul 2 2 2 5 2" xfId="8358" xr:uid="{11DE1B2B-02DF-48F7-AB80-BF59EB5694C9}"/>
    <cellStyle name="Calcul 2 2 2 6" xfId="5718" xr:uid="{00000000-0005-0000-0000-0000D0070000}"/>
    <cellStyle name="Calcul 2 2 2 6 2" xfId="8581" xr:uid="{2487C925-CA08-4AF0-9E02-B91A891967CD}"/>
    <cellStyle name="Calcul 2 2 2 7" xfId="5709" xr:uid="{00000000-0005-0000-0000-0000D1070000}"/>
    <cellStyle name="Calcul 2 2 2 7 2" xfId="8576" xr:uid="{9A0250A0-BE7E-43FA-ABF6-0684EC7BB500}"/>
    <cellStyle name="Calcul 2 2 2 8" xfId="6429" xr:uid="{5D047066-AD8F-4934-88D0-704B634C1462}"/>
    <cellStyle name="Calcul 2 2 3" xfId="1434" xr:uid="{00000000-0005-0000-0000-0000D2070000}"/>
    <cellStyle name="Calcul 2 2 3 2" xfId="4474" xr:uid="{00000000-0005-0000-0000-0000D3070000}"/>
    <cellStyle name="Calcul 2 2 3 2 2" xfId="7659" xr:uid="{C940DA24-A96A-4410-B21F-8B878FC4B3EE}"/>
    <cellStyle name="Calcul 2 2 3 3" xfId="6430" xr:uid="{7EFF9802-9E73-4810-8575-B2C888B3FD69}"/>
    <cellStyle name="Calcul 2 2 4" xfId="2409" xr:uid="{00000000-0005-0000-0000-0000D4070000}"/>
    <cellStyle name="Calcul 2 2 4 2" xfId="6736" xr:uid="{DB990D7E-2319-4BFD-8964-67573D20B197}"/>
    <cellStyle name="Calcul 2 2 5" xfId="2693" xr:uid="{00000000-0005-0000-0000-0000D5070000}"/>
    <cellStyle name="Calcul 2 2 5 2" xfId="6891" xr:uid="{66FEFD54-97E3-4CE3-B639-A00BE599F7BC}"/>
    <cellStyle name="Calcul 2 2 6" xfId="2433" xr:uid="{00000000-0005-0000-0000-0000D6070000}"/>
    <cellStyle name="Calcul 2 2 6 2" xfId="6759" xr:uid="{AB8AC4F4-76F9-4DF3-9604-DFD9404DE2CE}"/>
    <cellStyle name="Calcul 2 2 7" xfId="5119" xr:uid="{00000000-0005-0000-0000-0000D7070000}"/>
    <cellStyle name="Calcul 2 2 7 2" xfId="8076" xr:uid="{C4608788-337A-4056-AB01-C8972707B5EF}"/>
    <cellStyle name="Calcul 2 2 8" xfId="5411" xr:uid="{00000000-0005-0000-0000-0000D8070000}"/>
    <cellStyle name="Calcul 2 2 8 2" xfId="8328" xr:uid="{3EB7FE5F-5056-4BCE-A3C6-E4F227C4E944}"/>
    <cellStyle name="Calcul 2 2 9" xfId="658" xr:uid="{00000000-0005-0000-0000-0000D9070000}"/>
    <cellStyle name="Calcul 2 2 9 2" xfId="6335" xr:uid="{8E2996FC-2F0B-40A9-B610-A7A20590F423}"/>
    <cellStyle name="Calcul 2 3" xfId="282" xr:uid="{00000000-0005-0000-0000-0000DA070000}"/>
    <cellStyle name="Calcul 2 3 10" xfId="5719" xr:uid="{00000000-0005-0000-0000-0000DB070000}"/>
    <cellStyle name="Calcul 2 3 10 2" xfId="8582" xr:uid="{55151A8B-5653-4FD4-98B3-D6D671C8CDA9}"/>
    <cellStyle name="Calcul 2 3 11" xfId="5708" xr:uid="{00000000-0005-0000-0000-0000DC070000}"/>
    <cellStyle name="Calcul 2 3 11 2" xfId="8575" xr:uid="{9B9EF893-A2F4-4739-8C96-DED5F5C08F40}"/>
    <cellStyle name="Calcul 2 3 12" xfId="6181" xr:uid="{CFE363E2-4CFD-408D-AA65-C0BE069166A3}"/>
    <cellStyle name="Calcul 2 3 2" xfId="1435" xr:uid="{00000000-0005-0000-0000-0000DD070000}"/>
    <cellStyle name="Calcul 2 3 2 10" xfId="5720" xr:uid="{00000000-0005-0000-0000-0000DE070000}"/>
    <cellStyle name="Calcul 2 3 2 10 2" xfId="8583" xr:uid="{DDAAF2D8-33BD-49F9-BAFA-8D500A26A7DD}"/>
    <cellStyle name="Calcul 2 3 2 11" xfId="5707" xr:uid="{00000000-0005-0000-0000-0000DF070000}"/>
    <cellStyle name="Calcul 2 3 2 11 2" xfId="8574" xr:uid="{E4456466-C232-42BD-8D5A-2843E84A07B6}"/>
    <cellStyle name="Calcul 2 3 2 12" xfId="6431" xr:uid="{6FC86E71-5770-4568-99C6-29C47D505487}"/>
    <cellStyle name="Calcul 2 3 2 2" xfId="3297" xr:uid="{00000000-0005-0000-0000-0000E0070000}"/>
    <cellStyle name="Calcul 2 3 2 2 2" xfId="3678" xr:uid="{00000000-0005-0000-0000-0000E1070000}"/>
    <cellStyle name="Calcul 2 3 2 2 2 2" xfId="7160" xr:uid="{7A3AF9EE-E70B-4FED-89E9-A46FA0F439F7}"/>
    <cellStyle name="Calcul 2 3 2 2 3" xfId="4476" xr:uid="{00000000-0005-0000-0000-0000E2070000}"/>
    <cellStyle name="Calcul 2 3 2 2 3 2" xfId="7661" xr:uid="{5243DDC9-2C7C-4B78-9770-A18C869EC115}"/>
    <cellStyle name="Calcul 2 3 2 2 4" xfId="6993" xr:uid="{9CAB8F00-4C5F-40E6-A0EC-79C80B45BA09}"/>
    <cellStyle name="Calcul 2 3 2 3" xfId="2412" xr:uid="{00000000-0005-0000-0000-0000E3070000}"/>
    <cellStyle name="Calcul 2 3 2 3 2" xfId="4477" xr:uid="{00000000-0005-0000-0000-0000E4070000}"/>
    <cellStyle name="Calcul 2 3 2 3 2 2" xfId="7662" xr:uid="{10A47748-7DC5-40E2-9C5C-7518A547F9AE}"/>
    <cellStyle name="Calcul 2 3 2 3 3" xfId="6739" xr:uid="{0FD74305-3EC5-4796-B95B-50F64035DA3E}"/>
    <cellStyle name="Calcul 2 3 2 4" xfId="2241" xr:uid="{00000000-0005-0000-0000-0000E5070000}"/>
    <cellStyle name="Calcul 2 3 2 4 2" xfId="6684" xr:uid="{E058C6AD-977A-4DB0-95FC-D7639DFD656B}"/>
    <cellStyle name="Calcul 2 3 2 5" xfId="2118" xr:uid="{00000000-0005-0000-0000-0000E6070000}"/>
    <cellStyle name="Calcul 2 3 2 5 2" xfId="6634" xr:uid="{B6954971-71D0-4048-8CAF-F6E2854D166D}"/>
    <cellStyle name="Calcul 2 3 2 6" xfId="4475" xr:uid="{00000000-0005-0000-0000-0000E7070000}"/>
    <cellStyle name="Calcul 2 3 2 6 2" xfId="7660" xr:uid="{564F2675-47FD-42B8-A5EE-EFC3BC9960BD}"/>
    <cellStyle name="Calcul 2 3 2 7" xfId="4120" xr:uid="{00000000-0005-0000-0000-0000E8070000}"/>
    <cellStyle name="Calcul 2 3 2 7 2" xfId="7393" xr:uid="{624103B5-A163-4B05-BB11-60C3E6233FE6}"/>
    <cellStyle name="Calcul 2 3 2 8" xfId="5453" xr:uid="{00000000-0005-0000-0000-0000E9070000}"/>
    <cellStyle name="Calcul 2 3 2 8 2" xfId="8359" xr:uid="{7525533A-A4AD-4C6F-8BC2-98BA83E99640}"/>
    <cellStyle name="Calcul 2 3 2 9" xfId="5536" xr:uid="{00000000-0005-0000-0000-0000EA070000}"/>
    <cellStyle name="Calcul 2 3 2 9 2" xfId="8438" xr:uid="{3874A4ED-4B53-450E-AE1C-96FFFF1FC10C}"/>
    <cellStyle name="Calcul 2 3 3" xfId="1436" xr:uid="{00000000-0005-0000-0000-0000EB070000}"/>
    <cellStyle name="Calcul 2 3 3 2" xfId="3662" xr:uid="{00000000-0005-0000-0000-0000EC070000}"/>
    <cellStyle name="Calcul 2 3 3 2 2" xfId="7144" xr:uid="{9DD11D7C-FE8E-42EC-8C59-134159A749B2}"/>
    <cellStyle name="Calcul 2 3 3 3" xfId="4478" xr:uid="{00000000-0005-0000-0000-0000ED070000}"/>
    <cellStyle name="Calcul 2 3 3 3 2" xfId="7663" xr:uid="{AB897635-092A-461C-81B5-5A1E0D22492A}"/>
    <cellStyle name="Calcul 2 3 3 4" xfId="6432" xr:uid="{C34F01A3-33C1-44DB-A985-5EC622CE466C}"/>
    <cellStyle name="Calcul 2 3 4" xfId="2411" xr:uid="{00000000-0005-0000-0000-0000EE070000}"/>
    <cellStyle name="Calcul 2 3 4 2" xfId="6738" xr:uid="{D2BBC2B8-D2B6-4996-B088-A57A423C99DD}"/>
    <cellStyle name="Calcul 2 3 5" xfId="2366" xr:uid="{00000000-0005-0000-0000-0000EF070000}"/>
    <cellStyle name="Calcul 2 3 5 2" xfId="6716" xr:uid="{77DFF585-D6BC-41EE-9313-CF8E57E52B52}"/>
    <cellStyle name="Calcul 2 3 6" xfId="2119" xr:uid="{00000000-0005-0000-0000-0000F0070000}"/>
    <cellStyle name="Calcul 2 3 6 2" xfId="6635" xr:uid="{17C96201-C8F7-4FEB-9E5D-5B9FD2FE8945}"/>
    <cellStyle name="Calcul 2 3 7" xfId="4164" xr:uid="{00000000-0005-0000-0000-0000F1070000}"/>
    <cellStyle name="Calcul 2 3 7 2" xfId="7409" xr:uid="{6CF7B0DE-FE60-4ABF-BDEB-9480647071B1}"/>
    <cellStyle name="Calcul 2 3 8" xfId="5412" xr:uid="{00000000-0005-0000-0000-0000F2070000}"/>
    <cellStyle name="Calcul 2 3 8 2" xfId="8329" xr:uid="{4DAE3EB2-18D6-431B-B408-198B2CD463D0}"/>
    <cellStyle name="Calcul 2 3 9" xfId="659" xr:uid="{00000000-0005-0000-0000-0000F3070000}"/>
    <cellStyle name="Calcul 2 3 9 2" xfId="6336" xr:uid="{55C2C6BC-AB1E-47E2-82D5-F943C94FD8CA}"/>
    <cellStyle name="Calcul 2 4" xfId="1437" xr:uid="{00000000-0005-0000-0000-0000F4070000}"/>
    <cellStyle name="Calcul 2 4 10" xfId="5706" xr:uid="{00000000-0005-0000-0000-0000F5070000}"/>
    <cellStyle name="Calcul 2 4 10 2" xfId="8573" xr:uid="{CA6A6EFD-0181-4C77-B2ED-66626CBFFD6B}"/>
    <cellStyle name="Calcul 2 4 11" xfId="6433" xr:uid="{719398B3-85A0-4C23-95A2-AFA55E49013B}"/>
    <cellStyle name="Calcul 2 4 2" xfId="1438" xr:uid="{00000000-0005-0000-0000-0000F6070000}"/>
    <cellStyle name="Calcul 2 4 2 2" xfId="2414" xr:uid="{00000000-0005-0000-0000-0000F7070000}"/>
    <cellStyle name="Calcul 2 4 2 2 2" xfId="4480" xr:uid="{00000000-0005-0000-0000-0000F8070000}"/>
    <cellStyle name="Calcul 2 4 2 2 2 2" xfId="7665" xr:uid="{CA3F8C2C-95CA-4259-B2AB-1DECFC77ED0E}"/>
    <cellStyle name="Calcul 2 4 2 2 3" xfId="6741" xr:uid="{A716CBF3-783A-499F-A91E-0143723CAC24}"/>
    <cellStyle name="Calcul 2 4 2 3" xfId="3663" xr:uid="{00000000-0005-0000-0000-0000F9070000}"/>
    <cellStyle name="Calcul 2 4 2 3 2" xfId="7145" xr:uid="{6E422FCB-A250-40F7-91B6-91B875DE0CF6}"/>
    <cellStyle name="Calcul 2 4 2 4" xfId="4479" xr:uid="{00000000-0005-0000-0000-0000FA070000}"/>
    <cellStyle name="Calcul 2 4 2 4 2" xfId="7664" xr:uid="{7D5E566B-AEFB-4519-9EDD-C4CC3F4AEC17}"/>
    <cellStyle name="Calcul 2 4 2 5" xfId="5455" xr:uid="{00000000-0005-0000-0000-0000FB070000}"/>
    <cellStyle name="Calcul 2 4 2 5 2" xfId="8361" xr:uid="{ACB4ABE4-454F-40B2-BDF8-742C547C2C02}"/>
    <cellStyle name="Calcul 2 4 2 6" xfId="5722" xr:uid="{00000000-0005-0000-0000-0000FC070000}"/>
    <cellStyle name="Calcul 2 4 2 6 2" xfId="8585" xr:uid="{B5F496BF-F919-4A62-96B0-EE2AE83B31B3}"/>
    <cellStyle name="Calcul 2 4 2 7" xfId="5704" xr:uid="{00000000-0005-0000-0000-0000FD070000}"/>
    <cellStyle name="Calcul 2 4 2 7 2" xfId="8572" xr:uid="{44632384-5A27-4541-8464-ED60B9FCD93E}"/>
    <cellStyle name="Calcul 2 4 2 8" xfId="6434" xr:uid="{4238C192-C710-49A1-8B0F-A1F475FEE467}"/>
    <cellStyle name="Calcul 2 4 3" xfId="1439" xr:uid="{00000000-0005-0000-0000-0000FE070000}"/>
    <cellStyle name="Calcul 2 4 3 2" xfId="4481" xr:uid="{00000000-0005-0000-0000-0000FF070000}"/>
    <cellStyle name="Calcul 2 4 3 2 2" xfId="7666" xr:uid="{BF03547B-EF04-4E8D-BD15-EE57B19BD989}"/>
    <cellStyle name="Calcul 2 4 3 3" xfId="6435" xr:uid="{98BF829A-8B48-4B6E-9A19-D35C18400725}"/>
    <cellStyle name="Calcul 2 4 4" xfId="2413" xr:uid="{00000000-0005-0000-0000-000000080000}"/>
    <cellStyle name="Calcul 2 4 4 2" xfId="6740" xr:uid="{1511D12F-BE5E-4280-B16F-C2195AD7A390}"/>
    <cellStyle name="Calcul 2 4 5" xfId="2365" xr:uid="{00000000-0005-0000-0000-000001080000}"/>
    <cellStyle name="Calcul 2 4 5 2" xfId="6715" xr:uid="{C97B1580-47DB-43A0-BF3F-7B0871157984}"/>
    <cellStyle name="Calcul 2 4 6" xfId="3295" xr:uid="{00000000-0005-0000-0000-000002080000}"/>
    <cellStyle name="Calcul 2 4 6 2" xfId="6992" xr:uid="{04802FBF-AACA-4899-ADB3-50D73C541082}"/>
    <cellStyle name="Calcul 2 4 7" xfId="4730" xr:uid="{00000000-0005-0000-0000-000003080000}"/>
    <cellStyle name="Calcul 2 4 7 2" xfId="7814" xr:uid="{932CF3FB-BA05-4B47-93D0-2E6E3C757FB3}"/>
    <cellStyle name="Calcul 2 4 8" xfId="5454" xr:uid="{00000000-0005-0000-0000-000004080000}"/>
    <cellStyle name="Calcul 2 4 8 2" xfId="8360" xr:uid="{D1E8E685-EA81-4E3E-9F73-FA6C6721F46D}"/>
    <cellStyle name="Calcul 2 4 9" xfId="5721" xr:uid="{00000000-0005-0000-0000-000005080000}"/>
    <cellStyle name="Calcul 2 4 9 2" xfId="8584" xr:uid="{D1CC88AF-D423-453B-A0F0-2C35778A9CF4}"/>
    <cellStyle name="Calcul 2 5" xfId="1440" xr:uid="{00000000-0005-0000-0000-000006080000}"/>
    <cellStyle name="Calcul 2 5 2" xfId="2415" xr:uid="{00000000-0005-0000-0000-000007080000}"/>
    <cellStyle name="Calcul 2 5 2 2" xfId="4482" xr:uid="{00000000-0005-0000-0000-000008080000}"/>
    <cellStyle name="Calcul 2 5 2 2 2" xfId="7667" xr:uid="{E069FE69-1328-41D5-A1F7-C8C2A663629B}"/>
    <cellStyle name="Calcul 2 5 2 3" xfId="5724" xr:uid="{00000000-0005-0000-0000-000009080000}"/>
    <cellStyle name="Calcul 2 5 2 3 2" xfId="8587" xr:uid="{CC7F9C6D-7E69-498C-B88B-0C9CEDB56B8E}"/>
    <cellStyle name="Calcul 2 5 2 4" xfId="5702" xr:uid="{00000000-0005-0000-0000-00000A080000}"/>
    <cellStyle name="Calcul 2 5 2 4 2" xfId="8570" xr:uid="{0AD5F1D3-A41B-4174-82CB-DD3EF980F532}"/>
    <cellStyle name="Calcul 2 5 2 5" xfId="6742" xr:uid="{03DF8146-B8C7-4AD7-A44A-C81E2C3C6FE3}"/>
    <cellStyle name="Calcul 2 5 3" xfId="2581" xr:uid="{00000000-0005-0000-0000-00000B080000}"/>
    <cellStyle name="Calcul 2 5 3 2" xfId="6830" xr:uid="{F680B545-DE7A-4598-A541-00610CA945B6}"/>
    <cellStyle name="Calcul 2 5 4" xfId="3500" xr:uid="{00000000-0005-0000-0000-00000C080000}"/>
    <cellStyle name="Calcul 2 5 4 2" xfId="7083" xr:uid="{C26362AB-ECE9-40F4-830E-09799DF545CC}"/>
    <cellStyle name="Calcul 2 5 5" xfId="5456" xr:uid="{00000000-0005-0000-0000-00000D080000}"/>
    <cellStyle name="Calcul 2 5 5 2" xfId="8362" xr:uid="{39CDEA26-961A-4FD4-B56D-92D4080B7F7B}"/>
    <cellStyle name="Calcul 2 5 6" xfId="5723" xr:uid="{00000000-0005-0000-0000-00000E080000}"/>
    <cellStyle name="Calcul 2 5 6 2" xfId="8586" xr:uid="{D600843D-2204-49D0-B75D-5B82692A0BB2}"/>
    <cellStyle name="Calcul 2 5 7" xfId="5703" xr:uid="{00000000-0005-0000-0000-00000F080000}"/>
    <cellStyle name="Calcul 2 5 7 2" xfId="8571" xr:uid="{51D1B156-84A2-4361-AE94-E6570429D5C5}"/>
    <cellStyle name="Calcul 2 5 8" xfId="6436" xr:uid="{677A842E-EC79-4016-9097-2445E1F3D89D}"/>
    <cellStyle name="Calcul 2 6" xfId="1441" xr:uid="{00000000-0005-0000-0000-000010080000}"/>
    <cellStyle name="Calcul 2 6 2" xfId="2416" xr:uid="{00000000-0005-0000-0000-000011080000}"/>
    <cellStyle name="Calcul 2 6 2 2" xfId="6743" xr:uid="{391A53EE-1061-4A79-A710-EE081204EB5A}"/>
    <cellStyle name="Calcul 2 6 3" xfId="4483" xr:uid="{00000000-0005-0000-0000-000012080000}"/>
    <cellStyle name="Calcul 2 6 3 2" xfId="7668" xr:uid="{5F431E1B-A1AB-42AA-AC74-F18AB6A12A94}"/>
    <cellStyle name="Calcul 2 6 4" xfId="5457" xr:uid="{00000000-0005-0000-0000-000013080000}"/>
    <cellStyle name="Calcul 2 6 4 2" xfId="8363" xr:uid="{A2B318F4-8A63-42F3-B653-DB640F8A36F2}"/>
    <cellStyle name="Calcul 2 6 5" xfId="5725" xr:uid="{00000000-0005-0000-0000-000014080000}"/>
    <cellStyle name="Calcul 2 6 5 2" xfId="8588" xr:uid="{DFD788C7-62E0-4007-8113-040355A11BDC}"/>
    <cellStyle name="Calcul 2 6 6" xfId="5701" xr:uid="{00000000-0005-0000-0000-000015080000}"/>
    <cellStyle name="Calcul 2 6 6 2" xfId="8569" xr:uid="{2E790303-3585-400F-9AE4-DDFE67CB5891}"/>
    <cellStyle name="Calcul 2 6 7" xfId="6437" xr:uid="{D617017A-6A74-4618-B560-BEB15A13FDB8}"/>
    <cellStyle name="Calcul 2 7" xfId="1442" xr:uid="{00000000-0005-0000-0000-000016080000}"/>
    <cellStyle name="Calcul 2 7 2" xfId="1443" xr:uid="{00000000-0005-0000-0000-000017080000}"/>
    <cellStyle name="Calcul 2 7 2 2" xfId="2418" xr:uid="{00000000-0005-0000-0000-000018080000}"/>
    <cellStyle name="Calcul 2 7 2 2 2" xfId="6745" xr:uid="{400FA528-086E-4AF8-85D8-7C57552C0CDA}"/>
    <cellStyle name="Calcul 2 7 2 3" xfId="4485" xr:uid="{00000000-0005-0000-0000-000019080000}"/>
    <cellStyle name="Calcul 2 7 2 3 2" xfId="7670" xr:uid="{BF8FF1F5-2BF2-4EDC-B8F2-56A20038BF47}"/>
    <cellStyle name="Calcul 2 7 2 4" xfId="5459" xr:uid="{00000000-0005-0000-0000-00001A080000}"/>
    <cellStyle name="Calcul 2 7 2 4 2" xfId="8365" xr:uid="{CC2C7A26-59D6-4327-9BA5-C32E87C3CB43}"/>
    <cellStyle name="Calcul 2 7 2 5" xfId="6439" xr:uid="{939ECBDA-6408-4D84-B213-3BCCF43FD042}"/>
    <cellStyle name="Calcul 2 7 3" xfId="2417" xr:uid="{00000000-0005-0000-0000-00001B080000}"/>
    <cellStyle name="Calcul 2 7 3 2" xfId="6744" xr:uid="{5DCB0FD7-8ECD-49C0-BE02-52B85F089438}"/>
    <cellStyle name="Calcul 2 7 4" xfId="4484" xr:uid="{00000000-0005-0000-0000-00001C080000}"/>
    <cellStyle name="Calcul 2 7 4 2" xfId="7669" xr:uid="{911F7B0B-8FD3-4C80-BBB0-DA03369239E1}"/>
    <cellStyle name="Calcul 2 7 5" xfId="5458" xr:uid="{00000000-0005-0000-0000-00001D080000}"/>
    <cellStyle name="Calcul 2 7 5 2" xfId="8364" xr:uid="{5F854BA2-64E9-495B-B268-D27A4D433C8A}"/>
    <cellStyle name="Calcul 2 7 6" xfId="6438" xr:uid="{BEA94461-B411-4E30-AB69-726E97417A6F}"/>
    <cellStyle name="Calcul 2 8" xfId="1444" xr:uid="{00000000-0005-0000-0000-00001E080000}"/>
    <cellStyle name="Calcul 2 8 2" xfId="2419" xr:uid="{00000000-0005-0000-0000-00001F080000}"/>
    <cellStyle name="Calcul 2 8 2 2" xfId="4487" xr:uid="{00000000-0005-0000-0000-000020080000}"/>
    <cellStyle name="Calcul 2 8 2 2 2" xfId="7672" xr:uid="{355473EA-F87A-4A4D-971F-750F238542FC}"/>
    <cellStyle name="Calcul 2 8 2 3" xfId="6746" xr:uid="{D5CCF320-5403-44C9-AA2A-ABE0131F5D88}"/>
    <cellStyle name="Calcul 2 8 3" xfId="4486" xr:uid="{00000000-0005-0000-0000-000021080000}"/>
    <cellStyle name="Calcul 2 8 3 2" xfId="7671" xr:uid="{5CFE3ECC-0AAB-4264-B8D5-4AFB45BF207D}"/>
    <cellStyle name="Calcul 2 8 4" xfId="5460" xr:uid="{00000000-0005-0000-0000-000022080000}"/>
    <cellStyle name="Calcul 2 8 4 2" xfId="8366" xr:uid="{BAEEBEA5-EB77-44B5-96D1-7047C6F81477}"/>
    <cellStyle name="Calcul 2 8 5" xfId="6440" xr:uid="{2926761C-A437-4A8A-8468-9363074FC5AB}"/>
    <cellStyle name="Calcul 2 9" xfId="1445" xr:uid="{00000000-0005-0000-0000-000023080000}"/>
    <cellStyle name="Calcul 2 9 2" xfId="4488" xr:uid="{00000000-0005-0000-0000-000024080000}"/>
    <cellStyle name="Calcul 2 9 2 2" xfId="7673" xr:uid="{FFF4A631-056D-4EFD-9182-DB25FA52DA01}"/>
    <cellStyle name="Calcul 2 9 3" xfId="6441" xr:uid="{7C16F86F-E53C-43D4-91DB-4E1763319399}"/>
    <cellStyle name="Calcul 3" xfId="283" xr:uid="{00000000-0005-0000-0000-000025080000}"/>
    <cellStyle name="Calcul 3 10" xfId="5413" xr:uid="{00000000-0005-0000-0000-000026080000}"/>
    <cellStyle name="Calcul 3 10 2" xfId="8330" xr:uid="{BDEA1540-58EB-4952-AE56-49ACD045E1B9}"/>
    <cellStyle name="Calcul 3 11" xfId="610" xr:uid="{00000000-0005-0000-0000-000027080000}"/>
    <cellStyle name="Calcul 3 11 2" xfId="6311" xr:uid="{9243F4F1-A165-4029-A746-515BE358E4A0}"/>
    <cellStyle name="Calcul 3 12" xfId="5726" xr:uid="{00000000-0005-0000-0000-000028080000}"/>
    <cellStyle name="Calcul 3 12 2" xfId="8589" xr:uid="{BAD52F79-DDFD-42E8-A5C0-A9A79DEA8DE6}"/>
    <cellStyle name="Calcul 3 13" xfId="5700" xr:uid="{00000000-0005-0000-0000-000029080000}"/>
    <cellStyle name="Calcul 3 13 2" xfId="8568" xr:uid="{7C696E7D-570E-41DA-8419-25FC81CFF7F0}"/>
    <cellStyle name="Calcul 3 14" xfId="6182" xr:uid="{1AE1B91D-D32D-4288-957B-D444404F9BCF}"/>
    <cellStyle name="Calcul 3 2" xfId="1446" xr:uid="{00000000-0005-0000-0000-00002A080000}"/>
    <cellStyle name="Calcul 3 2 10" xfId="5621" xr:uid="{00000000-0005-0000-0000-00002B080000}"/>
    <cellStyle name="Calcul 3 2 10 2" xfId="8510" xr:uid="{92699AFE-54C9-4CCE-AE03-D8AD2389FC37}"/>
    <cellStyle name="Calcul 3 2 11" xfId="5727" xr:uid="{00000000-0005-0000-0000-00002C080000}"/>
    <cellStyle name="Calcul 3 2 11 2" xfId="8590" xr:uid="{C9DFAFA8-D74F-4D99-AA59-BB69C499AFF6}"/>
    <cellStyle name="Calcul 3 2 12" xfId="5699" xr:uid="{00000000-0005-0000-0000-00002D080000}"/>
    <cellStyle name="Calcul 3 2 12 2" xfId="8567" xr:uid="{74F48C7E-E49C-447F-BECF-32E36F66585E}"/>
    <cellStyle name="Calcul 3 2 13" xfId="6442" xr:uid="{CDBD0BA0-8134-4EE1-AA25-0A028A93FA6C}"/>
    <cellStyle name="Calcul 3 2 2" xfId="1447" xr:uid="{00000000-0005-0000-0000-00002E080000}"/>
    <cellStyle name="Calcul 3 2 2 2" xfId="2422" xr:uid="{00000000-0005-0000-0000-00002F080000}"/>
    <cellStyle name="Calcul 3 2 2 2 2" xfId="6749" xr:uid="{FF51F1FF-C8FA-4B13-B94A-4B2EA312C435}"/>
    <cellStyle name="Calcul 3 2 2 3" xfId="3679" xr:uid="{00000000-0005-0000-0000-000030080000}"/>
    <cellStyle name="Calcul 3 2 2 3 2" xfId="7161" xr:uid="{77C5C894-22F9-424A-BACA-255F5A188979}"/>
    <cellStyle name="Calcul 3 2 2 4" xfId="4490" xr:uid="{00000000-0005-0000-0000-000031080000}"/>
    <cellStyle name="Calcul 3 2 2 4 2" xfId="7675" xr:uid="{ADA73F8F-4BCF-4A12-A493-363DC723D11C}"/>
    <cellStyle name="Calcul 3 2 2 5" xfId="5462" xr:uid="{00000000-0005-0000-0000-000032080000}"/>
    <cellStyle name="Calcul 3 2 2 5 2" xfId="8368" xr:uid="{19D06AC7-64F9-4476-B77B-84F802D4E7FF}"/>
    <cellStyle name="Calcul 3 2 2 6" xfId="6443" xr:uid="{7D770497-98A0-4012-84FC-9BCABC7B27D9}"/>
    <cellStyle name="Calcul 3 2 3" xfId="3298" xr:uid="{00000000-0005-0000-0000-000033080000}"/>
    <cellStyle name="Calcul 3 2 3 2" xfId="4491" xr:uid="{00000000-0005-0000-0000-000034080000}"/>
    <cellStyle name="Calcul 3 2 3 2 2" xfId="7676" xr:uid="{5E809D5A-D700-4EF7-B105-5557B5B73171}"/>
    <cellStyle name="Calcul 3 2 3 3" xfId="6994" xr:uid="{E9B6B72C-4885-4B10-BBA1-1E73645D5C72}"/>
    <cellStyle name="Calcul 3 2 4" xfId="2421" xr:uid="{00000000-0005-0000-0000-000035080000}"/>
    <cellStyle name="Calcul 3 2 4 2" xfId="4489" xr:uid="{00000000-0005-0000-0000-000036080000}"/>
    <cellStyle name="Calcul 3 2 4 2 2" xfId="7674" xr:uid="{BA4BED03-8792-4791-9234-CE2F6833DEEF}"/>
    <cellStyle name="Calcul 3 2 4 3" xfId="6748" xr:uid="{8B235F6E-3419-4E0C-9588-1478F388F28D}"/>
    <cellStyle name="Calcul 3 2 5" xfId="2260" xr:uid="{00000000-0005-0000-0000-000037080000}"/>
    <cellStyle name="Calcul 3 2 5 2" xfId="6690" xr:uid="{38669A2E-D27C-4DA4-B918-46E53AFB6E79}"/>
    <cellStyle name="Calcul 3 2 6" xfId="2032" xr:uid="{00000000-0005-0000-0000-000038080000}"/>
    <cellStyle name="Calcul 3 2 6 2" xfId="6604" xr:uid="{DBC6B900-8DC6-480F-96B5-248B46876C00}"/>
    <cellStyle name="Calcul 3 2 7" xfId="2382" xr:uid="{00000000-0005-0000-0000-000039080000}"/>
    <cellStyle name="Calcul 3 2 7 2" xfId="6721" xr:uid="{F2A82E8D-D429-4422-AB30-1730B19290AB}"/>
    <cellStyle name="Calcul 3 2 8" xfId="4895" xr:uid="{00000000-0005-0000-0000-00003A080000}"/>
    <cellStyle name="Calcul 3 2 8 2" xfId="7907" xr:uid="{127D2E3F-BFF2-4F14-A63B-238FC59D1FA8}"/>
    <cellStyle name="Calcul 3 2 9" xfId="5461" xr:uid="{00000000-0005-0000-0000-00003B080000}"/>
    <cellStyle name="Calcul 3 2 9 2" xfId="8367" xr:uid="{3E24CF38-5520-4D27-94E2-FFAC36CE1038}"/>
    <cellStyle name="Calcul 3 3" xfId="1448" xr:uid="{00000000-0005-0000-0000-00003C080000}"/>
    <cellStyle name="Calcul 3 3 2" xfId="1449" xr:uid="{00000000-0005-0000-0000-00003D080000}"/>
    <cellStyle name="Calcul 3 3 2 2" xfId="2424" xr:uid="{00000000-0005-0000-0000-00003E080000}"/>
    <cellStyle name="Calcul 3 3 2 2 2" xfId="6751" xr:uid="{35E9F9C6-D1B9-4BD9-AA6A-184571ECB218}"/>
    <cellStyle name="Calcul 3 3 2 3" xfId="4493" xr:uid="{00000000-0005-0000-0000-00003F080000}"/>
    <cellStyle name="Calcul 3 3 2 3 2" xfId="7678" xr:uid="{0BE7CC1C-2871-4467-A778-EF72AC968867}"/>
    <cellStyle name="Calcul 3 3 2 4" xfId="5464" xr:uid="{00000000-0005-0000-0000-000040080000}"/>
    <cellStyle name="Calcul 3 3 2 4 2" xfId="8370" xr:uid="{E2A5B428-14FB-41D5-BAD6-4AFD03AC5530}"/>
    <cellStyle name="Calcul 3 3 2 5" xfId="6445" xr:uid="{BFDEBA0E-27AD-495F-93AC-3B48EEDAA7C1}"/>
    <cellStyle name="Calcul 3 3 3" xfId="2423" xr:uid="{00000000-0005-0000-0000-000041080000}"/>
    <cellStyle name="Calcul 3 3 3 2" xfId="4494" xr:uid="{00000000-0005-0000-0000-000042080000}"/>
    <cellStyle name="Calcul 3 3 3 2 2" xfId="7679" xr:uid="{B008C571-E13E-4ECB-A690-5DF6C42447DB}"/>
    <cellStyle name="Calcul 3 3 3 3" xfId="6750" xr:uid="{7074F308-9DC5-4761-827E-F421D5FDC2EC}"/>
    <cellStyle name="Calcul 3 3 4" xfId="2363" xr:uid="{00000000-0005-0000-0000-000043080000}"/>
    <cellStyle name="Calcul 3 3 4 2" xfId="6714" xr:uid="{63D4261D-ED00-405F-968D-765A13314860}"/>
    <cellStyle name="Calcul 3 3 5" xfId="4492" xr:uid="{00000000-0005-0000-0000-000044080000}"/>
    <cellStyle name="Calcul 3 3 5 2" xfId="7677" xr:uid="{B9C19157-02AE-433C-8DEE-DC2B13132183}"/>
    <cellStyle name="Calcul 3 3 6" xfId="5211" xr:uid="{00000000-0005-0000-0000-000045080000}"/>
    <cellStyle name="Calcul 3 3 6 2" xfId="8155" xr:uid="{41F5E966-CDC6-44C6-83B4-5CBD9CB1E0F8}"/>
    <cellStyle name="Calcul 3 3 7" xfId="5463" xr:uid="{00000000-0005-0000-0000-000046080000}"/>
    <cellStyle name="Calcul 3 3 7 2" xfId="8369" xr:uid="{E6922017-AF2A-46A3-B443-40B69AC8E3B1}"/>
    <cellStyle name="Calcul 3 3 8" xfId="6444" xr:uid="{C98A69C1-8C22-48B2-9B6A-DF1FE5895EB1}"/>
    <cellStyle name="Calcul 3 4" xfId="1450" xr:uid="{00000000-0005-0000-0000-000047080000}"/>
    <cellStyle name="Calcul 3 4 2" xfId="2425" xr:uid="{00000000-0005-0000-0000-000048080000}"/>
    <cellStyle name="Calcul 3 4 2 2" xfId="4496" xr:uid="{00000000-0005-0000-0000-000049080000}"/>
    <cellStyle name="Calcul 3 4 2 2 2" xfId="7681" xr:uid="{32AE6724-30C3-4484-87EA-3D4309E56077}"/>
    <cellStyle name="Calcul 3 4 2 3" xfId="6752" xr:uid="{A3B8305F-1E98-43F6-A5CF-6EB4E4460D75}"/>
    <cellStyle name="Calcul 3 4 3" xfId="3893" xr:uid="{00000000-0005-0000-0000-00004A080000}"/>
    <cellStyle name="Calcul 3 4 3 2" xfId="4497" xr:uid="{00000000-0005-0000-0000-00004B080000}"/>
    <cellStyle name="Calcul 3 4 3 2 2" xfId="7682" xr:uid="{8E0BD90C-B8BB-4E4B-8E18-34CB3B142EB5}"/>
    <cellStyle name="Calcul 3 4 3 3" xfId="7250" xr:uid="{C11F03D5-A182-49ED-951F-A8EEB118070B}"/>
    <cellStyle name="Calcul 3 4 4" xfId="4495" xr:uid="{00000000-0005-0000-0000-00004C080000}"/>
    <cellStyle name="Calcul 3 4 4 2" xfId="7680" xr:uid="{61F60122-E249-4FA5-8BED-19E8966F08E9}"/>
    <cellStyle name="Calcul 3 4 5" xfId="5206" xr:uid="{00000000-0005-0000-0000-00004D080000}"/>
    <cellStyle name="Calcul 3 4 5 2" xfId="8151" xr:uid="{E7BD4F89-A855-40AA-AC05-33480BD4A0C8}"/>
    <cellStyle name="Calcul 3 4 6" xfId="5465" xr:uid="{00000000-0005-0000-0000-00004E080000}"/>
    <cellStyle name="Calcul 3 4 6 2" xfId="8371" xr:uid="{01DE1886-BFCB-4D8F-A91B-960CC8FA8A5D}"/>
    <cellStyle name="Calcul 3 4 7" xfId="6446" xr:uid="{3035522F-8BB1-4CCB-9F18-2302A7A3637D}"/>
    <cellStyle name="Calcul 3 5" xfId="1451" xr:uid="{00000000-0005-0000-0000-00004F080000}"/>
    <cellStyle name="Calcul 3 5 2" xfId="4498" xr:uid="{00000000-0005-0000-0000-000050080000}"/>
    <cellStyle name="Calcul 3 5 2 2" xfId="7683" xr:uid="{09CEEBE4-0B42-4AB1-A8CB-2B4F8944B125}"/>
    <cellStyle name="Calcul 3 5 3" xfId="6447" xr:uid="{EA2319F0-AA5B-4210-8446-6ABFB6377DA1}"/>
    <cellStyle name="Calcul 3 6" xfId="2420" xr:uid="{00000000-0005-0000-0000-000051080000}"/>
    <cellStyle name="Calcul 3 6 2" xfId="6747" xr:uid="{2001C217-B6F3-441D-B921-A91AE4A66C6D}"/>
    <cellStyle name="Calcul 3 7" xfId="2692" xr:uid="{00000000-0005-0000-0000-000052080000}"/>
    <cellStyle name="Calcul 3 7 2" xfId="6890" xr:uid="{F3A7BE0B-A607-404C-A0D0-D6866BF75480}"/>
    <cellStyle name="Calcul 3 8" xfId="2031" xr:uid="{00000000-0005-0000-0000-000053080000}"/>
    <cellStyle name="Calcul 3 8 2" xfId="6603" xr:uid="{09DF0BA1-8C3D-4952-8A97-19E3EDDD5C41}"/>
    <cellStyle name="Calcul 3 9" xfId="4148" xr:uid="{00000000-0005-0000-0000-000054080000}"/>
    <cellStyle name="Calcul 3 9 2" xfId="7406" xr:uid="{A326A043-0B54-4479-81F9-1E356D67DCD0}"/>
    <cellStyle name="Calcul 4" xfId="284" xr:uid="{00000000-0005-0000-0000-000055080000}"/>
    <cellStyle name="Calcul 4 10" xfId="657" xr:uid="{00000000-0005-0000-0000-000056080000}"/>
    <cellStyle name="Calcul 4 10 2" xfId="6334" xr:uid="{7BA59FEC-C19C-43C5-B09A-AF64C7CDB142}"/>
    <cellStyle name="Calcul 4 11" xfId="5728" xr:uid="{00000000-0005-0000-0000-000057080000}"/>
    <cellStyle name="Calcul 4 11 2" xfId="8591" xr:uid="{9B5C7628-368D-496E-A452-B75957E2AE0D}"/>
    <cellStyle name="Calcul 4 12" xfId="5698" xr:uid="{00000000-0005-0000-0000-000058080000}"/>
    <cellStyle name="Calcul 4 12 2" xfId="8566" xr:uid="{38E06DEF-CDAA-4A94-94A4-9B46374BCBDE}"/>
    <cellStyle name="Calcul 4 13" xfId="6183" xr:uid="{DFC5338E-584B-49FC-86C7-4207D006B466}"/>
    <cellStyle name="Calcul 4 2" xfId="1452" xr:uid="{00000000-0005-0000-0000-000059080000}"/>
    <cellStyle name="Calcul 4 2 2" xfId="2427" xr:uid="{00000000-0005-0000-0000-00005A080000}"/>
    <cellStyle name="Calcul 4 2 2 2" xfId="6754" xr:uid="{C5F0CB80-7D07-46ED-AADC-1EDF2477207E}"/>
    <cellStyle name="Calcul 4 2 3" xfId="2362" xr:uid="{00000000-0005-0000-0000-00005B080000}"/>
    <cellStyle name="Calcul 4 2 3 2" xfId="6713" xr:uid="{0A31D69A-2D51-48DF-8F30-53373151B73E}"/>
    <cellStyle name="Calcul 4 2 4" xfId="4499" xr:uid="{00000000-0005-0000-0000-00005C080000}"/>
    <cellStyle name="Calcul 4 2 4 2" xfId="7684" xr:uid="{8CD1D6C7-9B1F-4C31-B084-5615F0F9BCD8}"/>
    <cellStyle name="Calcul 4 2 5" xfId="5466" xr:uid="{00000000-0005-0000-0000-00005D080000}"/>
    <cellStyle name="Calcul 4 2 5 2" xfId="8372" xr:uid="{891113C6-92E4-41F8-B1B8-31BF4063C0AB}"/>
    <cellStyle name="Calcul 4 2 6" xfId="5729" xr:uid="{00000000-0005-0000-0000-00005E080000}"/>
    <cellStyle name="Calcul 4 2 6 2" xfId="8592" xr:uid="{261E4154-812D-44C0-93C5-5DC116617B67}"/>
    <cellStyle name="Calcul 4 2 7" xfId="5697" xr:uid="{00000000-0005-0000-0000-00005F080000}"/>
    <cellStyle name="Calcul 4 2 7 2" xfId="8565" xr:uid="{A5DCE26E-0F81-4B74-9ADB-C3ADA6EF9B01}"/>
    <cellStyle name="Calcul 4 2 8" xfId="6448" xr:uid="{F6A263FE-37FF-4123-99A2-7745219BA37D}"/>
    <cellStyle name="Calcul 4 3" xfId="1453" xr:uid="{00000000-0005-0000-0000-000060080000}"/>
    <cellStyle name="Calcul 4 3 2" xfId="2428" xr:uid="{00000000-0005-0000-0000-000061080000}"/>
    <cellStyle name="Calcul 4 3 2 2" xfId="4501" xr:uid="{00000000-0005-0000-0000-000062080000}"/>
    <cellStyle name="Calcul 4 3 2 2 2" xfId="7686" xr:uid="{E8F71F3E-CC8D-4161-B472-D40C51B039FE}"/>
    <cellStyle name="Calcul 4 3 2 3" xfId="6755" xr:uid="{B6A8E60B-982F-432A-BAD7-DA7D2921252A}"/>
    <cellStyle name="Calcul 4 3 3" xfId="4500" xr:uid="{00000000-0005-0000-0000-000063080000}"/>
    <cellStyle name="Calcul 4 3 3 2" xfId="7685" xr:uid="{BE974E8F-465D-41D2-BD70-AC0D6122F757}"/>
    <cellStyle name="Calcul 4 3 4" xfId="5467" xr:uid="{00000000-0005-0000-0000-000064080000}"/>
    <cellStyle name="Calcul 4 3 4 2" xfId="8373" xr:uid="{73ADA190-42D1-4E91-B6F4-6BEC7E3FEB71}"/>
    <cellStyle name="Calcul 4 3 5" xfId="6449" xr:uid="{3245A7A7-0EE5-4110-ACD4-07703554EA83}"/>
    <cellStyle name="Calcul 4 4" xfId="1454" xr:uid="{00000000-0005-0000-0000-000065080000}"/>
    <cellStyle name="Calcul 4 4 2" xfId="4502" xr:uid="{00000000-0005-0000-0000-000066080000}"/>
    <cellStyle name="Calcul 4 4 2 2" xfId="7687" xr:uid="{7A82D1E9-7F7C-497B-9854-EED965425AC7}"/>
    <cellStyle name="Calcul 4 4 3" xfId="6450" xr:uid="{B31071A2-AFE1-4C3D-9AFC-4A765796A384}"/>
    <cellStyle name="Calcul 4 5" xfId="2426" xr:uid="{00000000-0005-0000-0000-000067080000}"/>
    <cellStyle name="Calcul 4 5 2" xfId="6753" xr:uid="{FE0EFFDB-3E18-45F9-B062-A7AECE1477AA}"/>
    <cellStyle name="Calcul 4 6" xfId="2691" xr:uid="{00000000-0005-0000-0000-000068080000}"/>
    <cellStyle name="Calcul 4 6 2" xfId="6889" xr:uid="{D424583F-BFB3-49FE-8DFB-273BCDA404E8}"/>
    <cellStyle name="Calcul 4 7" xfId="3953" xr:uid="{00000000-0005-0000-0000-000069080000}"/>
    <cellStyle name="Calcul 4 7 2" xfId="7260" xr:uid="{F16FB487-4FF0-4EAF-9323-82DE695AFBCB}"/>
    <cellStyle name="Calcul 4 8" xfId="4803" xr:uid="{00000000-0005-0000-0000-00006A080000}"/>
    <cellStyle name="Calcul 4 8 2" xfId="7868" xr:uid="{433E7BE4-0EB0-40C8-9A11-16D0677F4E39}"/>
    <cellStyle name="Calcul 4 9" xfId="5414" xr:uid="{00000000-0005-0000-0000-00006B080000}"/>
    <cellStyle name="Calcul 4 9 2" xfId="8331" xr:uid="{937C8D29-C889-4473-9A4A-3FCD62DC61F6}"/>
    <cellStyle name="Calcul 5" xfId="285" xr:uid="{00000000-0005-0000-0000-00006C080000}"/>
    <cellStyle name="Calcul 5 10" xfId="656" xr:uid="{00000000-0005-0000-0000-00006D080000}"/>
    <cellStyle name="Calcul 5 10 2" xfId="6333" xr:uid="{9CF8F3B3-DFAC-4431-94E8-345D113B8636}"/>
    <cellStyle name="Calcul 5 11" xfId="5730" xr:uid="{00000000-0005-0000-0000-00006E080000}"/>
    <cellStyle name="Calcul 5 11 2" xfId="8593" xr:uid="{6380C972-CBD1-4BAE-AE78-DA594C3551E5}"/>
    <cellStyle name="Calcul 5 12" xfId="5696" xr:uid="{00000000-0005-0000-0000-00006F080000}"/>
    <cellStyle name="Calcul 5 12 2" xfId="8564" xr:uid="{01802A40-D24C-44B1-BD50-1EAA9DF8CC53}"/>
    <cellStyle name="Calcul 5 13" xfId="6184" xr:uid="{F5575B9F-26FA-41D4-AD11-761A3BDA05E4}"/>
    <cellStyle name="Calcul 5 2" xfId="1455" xr:uid="{00000000-0005-0000-0000-000070080000}"/>
    <cellStyle name="Calcul 5 2 2" xfId="2430" xr:uid="{00000000-0005-0000-0000-000071080000}"/>
    <cellStyle name="Calcul 5 2 2 2" xfId="6757" xr:uid="{DC1EDFB2-EA30-4072-8B42-349A5660DB55}"/>
    <cellStyle name="Calcul 5 2 3" xfId="2361" xr:uid="{00000000-0005-0000-0000-000072080000}"/>
    <cellStyle name="Calcul 5 2 3 2" xfId="6712" xr:uid="{C100FE7E-6263-453F-B49C-84CF11198690}"/>
    <cellStyle name="Calcul 5 2 4" xfId="4503" xr:uid="{00000000-0005-0000-0000-000073080000}"/>
    <cellStyle name="Calcul 5 2 4 2" xfId="7688" xr:uid="{D26843F7-61B2-4EBF-B4E9-AAA55951B9A9}"/>
    <cellStyle name="Calcul 5 2 5" xfId="5468" xr:uid="{00000000-0005-0000-0000-000074080000}"/>
    <cellStyle name="Calcul 5 2 5 2" xfId="8374" xr:uid="{E35003EF-967D-48C8-A90A-C7989586834D}"/>
    <cellStyle name="Calcul 5 2 6" xfId="5731" xr:uid="{00000000-0005-0000-0000-000075080000}"/>
    <cellStyle name="Calcul 5 2 6 2" xfId="8594" xr:uid="{09A49B5E-1A28-4BE7-AC2F-AD43628B4E2D}"/>
    <cellStyle name="Calcul 5 2 7" xfId="5695" xr:uid="{00000000-0005-0000-0000-000076080000}"/>
    <cellStyle name="Calcul 5 2 7 2" xfId="8563" xr:uid="{7C65E8EB-D514-4D1B-BF50-5758E862668B}"/>
    <cellStyle name="Calcul 5 2 8" xfId="6451" xr:uid="{4280BB4C-9169-4CC0-A089-209D8AB235B4}"/>
    <cellStyle name="Calcul 5 3" xfId="1456" xr:uid="{00000000-0005-0000-0000-000077080000}"/>
    <cellStyle name="Calcul 5 3 2" xfId="2431" xr:uid="{00000000-0005-0000-0000-000078080000}"/>
    <cellStyle name="Calcul 5 3 2 2" xfId="4505" xr:uid="{00000000-0005-0000-0000-000079080000}"/>
    <cellStyle name="Calcul 5 3 2 2 2" xfId="7690" xr:uid="{A7C9ABA5-41FC-4713-A63F-4511E7836195}"/>
    <cellStyle name="Calcul 5 3 2 3" xfId="6758" xr:uid="{6F20917B-5D07-482A-99EA-5E0FBEDCEB70}"/>
    <cellStyle name="Calcul 5 3 3" xfId="4504" xr:uid="{00000000-0005-0000-0000-00007A080000}"/>
    <cellStyle name="Calcul 5 3 3 2" xfId="7689" xr:uid="{AB41C183-AE22-40C8-A7F4-E0AD1F47D415}"/>
    <cellStyle name="Calcul 5 3 4" xfId="5469" xr:uid="{00000000-0005-0000-0000-00007B080000}"/>
    <cellStyle name="Calcul 5 3 4 2" xfId="8375" xr:uid="{3AEC8EB4-34B5-4E3D-BD0E-FE9CB34001F0}"/>
    <cellStyle name="Calcul 5 3 5" xfId="6452" xr:uid="{5CE8A1D1-D913-47EC-A03F-F59DD4C50596}"/>
    <cellStyle name="Calcul 5 4" xfId="1457" xr:uid="{00000000-0005-0000-0000-00007C080000}"/>
    <cellStyle name="Calcul 5 4 2" xfId="4506" xr:uid="{00000000-0005-0000-0000-00007D080000}"/>
    <cellStyle name="Calcul 5 4 2 2" xfId="7691" xr:uid="{E799AE4B-3671-41C5-824A-E572E7B73E21}"/>
    <cellStyle name="Calcul 5 4 3" xfId="6453" xr:uid="{3EF58432-70CA-41EC-B507-A47FB4B708B9}"/>
    <cellStyle name="Calcul 5 5" xfId="2429" xr:uid="{00000000-0005-0000-0000-00007E080000}"/>
    <cellStyle name="Calcul 5 5 2" xfId="6756" xr:uid="{991EB8D5-5DCC-41C2-BA4F-B0DBD24024CB}"/>
    <cellStyle name="Calcul 5 6" xfId="2690" xr:uid="{00000000-0005-0000-0000-00007F080000}"/>
    <cellStyle name="Calcul 5 6 2" xfId="6888" xr:uid="{86BD5E98-20AE-40AA-B1B9-8297C551B56A}"/>
    <cellStyle name="Calcul 5 7" xfId="3294" xr:uid="{00000000-0005-0000-0000-000080080000}"/>
    <cellStyle name="Calcul 5 7 2" xfId="6991" xr:uid="{D0DC8E61-358C-48B9-9940-7FBFEC6F159E}"/>
    <cellStyle name="Calcul 5 8" xfId="4802" xr:uid="{00000000-0005-0000-0000-000081080000}"/>
    <cellStyle name="Calcul 5 8 2" xfId="7867" xr:uid="{FB1053AC-76EF-426C-AAFE-0833B15CE344}"/>
    <cellStyle name="Calcul 5 9" xfId="5415" xr:uid="{00000000-0005-0000-0000-000082080000}"/>
    <cellStyle name="Calcul 5 9 2" xfId="8332" xr:uid="{FFAD2A50-8AC4-4D37-BBD9-3EF1BF04484F}"/>
    <cellStyle name="Calcul 6" xfId="286" xr:uid="{00000000-0005-0000-0000-000083080000}"/>
    <cellStyle name="Calcul 6 10" xfId="5732" xr:uid="{00000000-0005-0000-0000-000084080000}"/>
    <cellStyle name="Calcul 6 10 2" xfId="8595" xr:uid="{2FF115F2-069D-43DE-B531-14B620FF01D7}"/>
    <cellStyle name="Calcul 6 11" xfId="5694" xr:uid="{00000000-0005-0000-0000-000085080000}"/>
    <cellStyle name="Calcul 6 11 2" xfId="8562" xr:uid="{844ED000-ACC2-4A98-8751-057B32AE93EF}"/>
    <cellStyle name="Calcul 6 12" xfId="6185" xr:uid="{78C520BD-790D-499B-B395-1C739EC1AEEF}"/>
    <cellStyle name="Calcul 6 2" xfId="765" xr:uid="{00000000-0005-0000-0000-000086080000}"/>
    <cellStyle name="Calcul 6 2 2" xfId="3300" xr:uid="{00000000-0005-0000-0000-000087080000}"/>
    <cellStyle name="Calcul 6 2 2 2" xfId="3681" xr:uid="{00000000-0005-0000-0000-000088080000}"/>
    <cellStyle name="Calcul 6 2 2 2 2" xfId="7163" xr:uid="{7C4DE0EE-83C5-49AF-91D5-A11DBAFF838F}"/>
    <cellStyle name="Calcul 6 2 2 3" xfId="4508" xr:uid="{00000000-0005-0000-0000-000089080000}"/>
    <cellStyle name="Calcul 6 2 2 3 2" xfId="7692" xr:uid="{96374F27-A8CB-4845-BCA4-64A75BF667F8}"/>
    <cellStyle name="Calcul 6 2 2 4" xfId="6996" xr:uid="{190F2B8E-F40B-453D-A64D-33F90C06FBD0}"/>
    <cellStyle name="Calcul 6 2 3" xfId="2259" xr:uid="{00000000-0005-0000-0000-00008A080000}"/>
    <cellStyle name="Calcul 6 2 3 2" xfId="6689" xr:uid="{8AAC74E9-F5A5-4CAE-801A-1B6E0A1ECDBF}"/>
    <cellStyle name="Calcul 6 2 4" xfId="2058" xr:uid="{00000000-0005-0000-0000-00008B080000}"/>
    <cellStyle name="Calcul 6 2 4 2" xfId="6623" xr:uid="{34315224-21A3-4BA8-BCFA-E7181F4E977D}"/>
    <cellStyle name="Calcul 6 2 5" xfId="4507" xr:uid="{00000000-0005-0000-0000-00008C080000}"/>
    <cellStyle name="Calcul 6 2 6" xfId="4131" xr:uid="{00000000-0005-0000-0000-00008D080000}"/>
    <cellStyle name="Calcul 6 2 6 2" xfId="7401" xr:uid="{8ACAA204-BCB8-4E8D-B972-079E4C1FF053}"/>
    <cellStyle name="Calcul 6 2 7" xfId="5620" xr:uid="{00000000-0005-0000-0000-00008E080000}"/>
    <cellStyle name="Calcul 6 2 7 2" xfId="8509" xr:uid="{9D6C0620-EF8B-426B-9C63-31FC5336FC55}"/>
    <cellStyle name="Calcul 6 2 8" xfId="6418" xr:uid="{4B73391A-26E1-46A6-B9B3-F8BBDD2EAE98}"/>
    <cellStyle name="Calcul 6 3" xfId="3299" xr:uid="{00000000-0005-0000-0000-00008F080000}"/>
    <cellStyle name="Calcul 6 3 2" xfId="3680" xr:uid="{00000000-0005-0000-0000-000090080000}"/>
    <cellStyle name="Calcul 6 3 2 2" xfId="7162" xr:uid="{30DB33AB-F720-4B24-A670-F31CFE5E7D13}"/>
    <cellStyle name="Calcul 6 3 3" xfId="6995" xr:uid="{9B08DE42-7CBA-4731-8295-74655C89F95D}"/>
    <cellStyle name="Calcul 6 4" xfId="2432" xr:uid="{00000000-0005-0000-0000-000091080000}"/>
    <cellStyle name="Calcul 6 5" xfId="2964" xr:uid="{00000000-0005-0000-0000-000092080000}"/>
    <cellStyle name="Calcul 6 5 2" xfId="6984" xr:uid="{EA2662CB-7B32-4B5B-B87D-D6214F093DD0}"/>
    <cellStyle name="Calcul 6 6" xfId="2033" xr:uid="{00000000-0005-0000-0000-000093080000}"/>
    <cellStyle name="Calcul 6 6 2" xfId="6605" xr:uid="{565609A3-917F-4880-9BA6-699BB6DB30CC}"/>
    <cellStyle name="Calcul 6 7" xfId="4134" xr:uid="{00000000-0005-0000-0000-000094080000}"/>
    <cellStyle name="Calcul 6 7 2" xfId="7404" xr:uid="{AC54EEAA-0311-416C-97DC-E2064BE21058}"/>
    <cellStyle name="Calcul 6 8" xfId="5416" xr:uid="{00000000-0005-0000-0000-000095080000}"/>
    <cellStyle name="Calcul 6 8 2" xfId="8333" xr:uid="{4A7C547F-DF89-4FD1-927F-95816643B460}"/>
    <cellStyle name="Calcul 6 9" xfId="589" xr:uid="{00000000-0005-0000-0000-000096080000}"/>
    <cellStyle name="Calcul 6 9 2" xfId="6305" xr:uid="{87C29DFA-57CD-4519-AF0B-D8D697772E6E}"/>
    <cellStyle name="Calcul 7" xfId="1432" xr:uid="{00000000-0005-0000-0000-000097080000}"/>
    <cellStyle name="Calcul 7 10" xfId="5693" xr:uid="{00000000-0005-0000-0000-000098080000}"/>
    <cellStyle name="Calcul 7 10 2" xfId="8561" xr:uid="{F3EBACFA-F9D1-4CD6-9355-8038C31B77F2}"/>
    <cellStyle name="Calcul 7 2" xfId="2066" xr:uid="{00000000-0005-0000-0000-000099080000}"/>
    <cellStyle name="Calcul 7 2 2" xfId="3682" xr:uid="{00000000-0005-0000-0000-00009A080000}"/>
    <cellStyle name="Calcul 7 2 2 2" xfId="7164" xr:uid="{929D6B59-4D93-44C9-BCFA-C08D7AEC1873}"/>
    <cellStyle name="Calcul 7 2 3" xfId="6626" xr:uid="{2D0E5689-8BE0-4610-985F-D9832C65BB39}"/>
    <cellStyle name="Calcul 7 3" xfId="3301" xr:uid="{00000000-0005-0000-0000-00009B080000}"/>
    <cellStyle name="Calcul 7 3 2" xfId="6997" xr:uid="{B055D59A-B03D-427C-AFCC-E49C31C572D9}"/>
    <cellStyle name="Calcul 7 4" xfId="2240" xr:uid="{00000000-0005-0000-0000-00009C080000}"/>
    <cellStyle name="Calcul 7 4 2" xfId="6683" xr:uid="{2DF9CC7C-08F5-4DE0-A288-D2D1FDB9E9AD}"/>
    <cellStyle name="Calcul 7 5" xfId="2404" xr:uid="{00000000-0005-0000-0000-00009D080000}"/>
    <cellStyle name="Calcul 7 5 2" xfId="6733" xr:uid="{82BC5428-8DB2-4839-9A94-C4EC1937A4D6}"/>
    <cellStyle name="Calcul 7 6" xfId="4731" xr:uid="{00000000-0005-0000-0000-00009E080000}"/>
    <cellStyle name="Calcul 7 6 2" xfId="7815" xr:uid="{02480F25-A2EA-47FD-BE7F-305F4B68DAD1}"/>
    <cellStyle name="Calcul 7 7" xfId="5563" xr:uid="{00000000-0005-0000-0000-00009F080000}"/>
    <cellStyle name="Calcul 7 7 2" xfId="8457" xr:uid="{FFE1B1CC-D890-419B-B8D1-066F91305071}"/>
    <cellStyle name="Calcul 7 8" xfId="5619" xr:uid="{00000000-0005-0000-0000-0000A0080000}"/>
    <cellStyle name="Calcul 7 8 2" xfId="8508" xr:uid="{1E8702E9-06BD-41A9-A370-833EC691D450}"/>
    <cellStyle name="Calcul 7 9" xfId="5733" xr:uid="{00000000-0005-0000-0000-0000A1080000}"/>
    <cellStyle name="Calcul 7 9 2" xfId="8596" xr:uid="{120723C6-4C4B-4E4E-BDA6-501D2F7FD519}"/>
    <cellStyle name="Calcul 8" xfId="3560" xr:uid="{00000000-0005-0000-0000-0000A2080000}"/>
    <cellStyle name="Calcul 8 2" xfId="3737" xr:uid="{00000000-0005-0000-0000-0000A3080000}"/>
    <cellStyle name="Calcul 8 2 2" xfId="7218" xr:uid="{237D70B2-92EC-4FAB-BEFA-8D56778F2619}"/>
    <cellStyle name="Calcul 8 3" xfId="3652" xr:uid="{00000000-0005-0000-0000-0000A4080000}"/>
    <cellStyle name="Calcul 8 3 2" xfId="7138" xr:uid="{B28B755B-3CDB-4A3D-B74A-992A9F7BE966}"/>
    <cellStyle name="Calcul 8 4" xfId="4509" xr:uid="{00000000-0005-0000-0000-0000A5080000}"/>
    <cellStyle name="Calcul 8 4 2" xfId="7693" xr:uid="{E5C7ECC1-D788-4DA5-934F-23780878B4FF}"/>
    <cellStyle name="Calcul 8 5" xfId="4975" xr:uid="{00000000-0005-0000-0000-0000A6080000}"/>
    <cellStyle name="Calcul 8 5 2" xfId="7961" xr:uid="{B5AC135E-3842-4C9F-99EB-380DFEF07716}"/>
    <cellStyle name="Calcul 8 6" xfId="5573" xr:uid="{00000000-0005-0000-0000-0000A7080000}"/>
    <cellStyle name="Calcul 8 6 2" xfId="8467" xr:uid="{E141E91E-84AE-46E7-8961-CC7C2C29D526}"/>
    <cellStyle name="Calcul 8 7" xfId="7098" xr:uid="{6A90639C-707E-4678-9C76-56120758A9AD}"/>
    <cellStyle name="Calcul 9" xfId="2848" xr:uid="{00000000-0005-0000-0000-0000A8080000}"/>
    <cellStyle name="Calcul 9 2" xfId="2582" xr:uid="{00000000-0005-0000-0000-0000A9080000}"/>
    <cellStyle name="Calcul 9 2 2" xfId="6831" xr:uid="{54F0A780-4488-4D83-ACF6-C10323518D16}"/>
    <cellStyle name="Calcul 9 3" xfId="4471" xr:uid="{00000000-0005-0000-0000-0000AA080000}"/>
    <cellStyle name="Calcul 9 4" xfId="6937" xr:uid="{9733D962-D416-41AF-AEAA-0AEFCBB95C46}"/>
    <cellStyle name="Cellule liée" xfId="287" builtinId="24" customBuiltin="1"/>
    <cellStyle name="Cellule liée 2" xfId="288" xr:uid="{00000000-0005-0000-0000-0000AC080000}"/>
    <cellStyle name="Cellule liée 2 2" xfId="289" xr:uid="{00000000-0005-0000-0000-0000AD080000}"/>
    <cellStyle name="Cellule liée 2 2 2" xfId="1459" xr:uid="{00000000-0005-0000-0000-0000AE080000}"/>
    <cellStyle name="Cellule liée 2 2 2 2" xfId="2434" xr:uid="{00000000-0005-0000-0000-0000AF080000}"/>
    <cellStyle name="Cellule liée 2 2 3" xfId="1460" xr:uid="{00000000-0005-0000-0000-0000B0080000}"/>
    <cellStyle name="Cellule liée 2 3" xfId="290" xr:uid="{00000000-0005-0000-0000-0000B1080000}"/>
    <cellStyle name="Cellule liée 2 3 2" xfId="1461" xr:uid="{00000000-0005-0000-0000-0000B2080000}"/>
    <cellStyle name="Cellule liée 2 3 2 2" xfId="3302" xr:uid="{00000000-0005-0000-0000-0000B3080000}"/>
    <cellStyle name="Cellule liée 2 3 2 2 2" xfId="4511" xr:uid="{00000000-0005-0000-0000-0000B4080000}"/>
    <cellStyle name="Cellule liée 2 3 2 3" xfId="2435" xr:uid="{00000000-0005-0000-0000-0000B5080000}"/>
    <cellStyle name="Cellule liée 2 3 2 3 2" xfId="4512" xr:uid="{00000000-0005-0000-0000-0000B6080000}"/>
    <cellStyle name="Cellule liée 2 3 3" xfId="1462" xr:uid="{00000000-0005-0000-0000-0000B7080000}"/>
    <cellStyle name="Cellule liée 2 4" xfId="1463" xr:uid="{00000000-0005-0000-0000-0000B8080000}"/>
    <cellStyle name="Cellule liée 2 4 2" xfId="1464" xr:uid="{00000000-0005-0000-0000-0000B9080000}"/>
    <cellStyle name="Cellule liée 2 4 2 2" xfId="2436" xr:uid="{00000000-0005-0000-0000-0000BA080000}"/>
    <cellStyle name="Cellule liée 2 4 3" xfId="1465" xr:uid="{00000000-0005-0000-0000-0000BB080000}"/>
    <cellStyle name="Cellule liée 2 5" xfId="1466" xr:uid="{00000000-0005-0000-0000-0000BC080000}"/>
    <cellStyle name="Cellule liée 2 5 2" xfId="2379" xr:uid="{00000000-0005-0000-0000-0000BD080000}"/>
    <cellStyle name="Cellule liée 2 5 2 2" xfId="4513" xr:uid="{00000000-0005-0000-0000-0000BE080000}"/>
    <cellStyle name="Cellule liée 2 5 3" xfId="5734" xr:uid="{00000000-0005-0000-0000-0000BF080000}"/>
    <cellStyle name="Cellule liée 2 6" xfId="1467" xr:uid="{00000000-0005-0000-0000-0000C0080000}"/>
    <cellStyle name="Cellule liée 2 7" xfId="1468" xr:uid="{00000000-0005-0000-0000-0000C1080000}"/>
    <cellStyle name="Cellule liée 2 7 2" xfId="1469" xr:uid="{00000000-0005-0000-0000-0000C2080000}"/>
    <cellStyle name="Cellule liée 2 8" xfId="1470" xr:uid="{00000000-0005-0000-0000-0000C3080000}"/>
    <cellStyle name="Cellule liée 2 8 2" xfId="2439" xr:uid="{00000000-0005-0000-0000-0000C4080000}"/>
    <cellStyle name="Cellule liée 2 9" xfId="1471" xr:uid="{00000000-0005-0000-0000-0000C5080000}"/>
    <cellStyle name="Cellule liée 3" xfId="291" xr:uid="{00000000-0005-0000-0000-0000C6080000}"/>
    <cellStyle name="Cellule liée 3 2" xfId="1472" xr:uid="{00000000-0005-0000-0000-0000C7080000}"/>
    <cellStyle name="Cellule liée 3 2 2" xfId="1473" xr:uid="{00000000-0005-0000-0000-0000C8080000}"/>
    <cellStyle name="Cellule liée 3 2 3" xfId="3303" xr:uid="{00000000-0005-0000-0000-0000C9080000}"/>
    <cellStyle name="Cellule liée 3 2 4" xfId="2700" xr:uid="{00000000-0005-0000-0000-0000CA080000}"/>
    <cellStyle name="Cellule liée 3 2 4 2" xfId="4514" xr:uid="{00000000-0005-0000-0000-0000CB080000}"/>
    <cellStyle name="Cellule liée 3 3" xfId="1474" xr:uid="{00000000-0005-0000-0000-0000CC080000}"/>
    <cellStyle name="Cellule liée 3 3 2" xfId="1475" xr:uid="{00000000-0005-0000-0000-0000CD080000}"/>
    <cellStyle name="Cellule liée 3 4" xfId="1476" xr:uid="{00000000-0005-0000-0000-0000CE080000}"/>
    <cellStyle name="Cellule liée 3 4 2" xfId="2441" xr:uid="{00000000-0005-0000-0000-0000CF080000}"/>
    <cellStyle name="Cellule liée 3 5" xfId="1477" xr:uid="{00000000-0005-0000-0000-0000D0080000}"/>
    <cellStyle name="Cellule liée 4" xfId="292" xr:uid="{00000000-0005-0000-0000-0000D1080000}"/>
    <cellStyle name="Cellule liée 4 2" xfId="1478" xr:uid="{00000000-0005-0000-0000-0000D2080000}"/>
    <cellStyle name="Cellule liée 4 3" xfId="1479" xr:uid="{00000000-0005-0000-0000-0000D3080000}"/>
    <cellStyle name="Cellule liée 4 3 2" xfId="2443" xr:uid="{00000000-0005-0000-0000-0000D4080000}"/>
    <cellStyle name="Cellule liée 4 4" xfId="1480" xr:uid="{00000000-0005-0000-0000-0000D5080000}"/>
    <cellStyle name="Cellule liée 5" xfId="293" xr:uid="{00000000-0005-0000-0000-0000D6080000}"/>
    <cellStyle name="Cellule liée 5 2" xfId="1481" xr:uid="{00000000-0005-0000-0000-0000D7080000}"/>
    <cellStyle name="Cellule liée 5 3" xfId="1482" xr:uid="{00000000-0005-0000-0000-0000D8080000}"/>
    <cellStyle name="Cellule liée 5 3 2" xfId="2445" xr:uid="{00000000-0005-0000-0000-0000D9080000}"/>
    <cellStyle name="Cellule liée 5 4" xfId="1483" xr:uid="{00000000-0005-0000-0000-0000DA080000}"/>
    <cellStyle name="Cellule liée 6" xfId="294" xr:uid="{00000000-0005-0000-0000-0000DB080000}"/>
    <cellStyle name="Cellule liée 6 2" xfId="774" xr:uid="{00000000-0005-0000-0000-0000DC080000}"/>
    <cellStyle name="Cellule liée 6 2 2" xfId="4517" xr:uid="{00000000-0005-0000-0000-0000DD080000}"/>
    <cellStyle name="Cellule liée 6 2 3" xfId="4516" xr:uid="{00000000-0005-0000-0000-0000DE080000}"/>
    <cellStyle name="Cellule liée 6 3" xfId="3304" xr:uid="{00000000-0005-0000-0000-0000DF080000}"/>
    <cellStyle name="Cellule liée 6 4" xfId="2446" xr:uid="{00000000-0005-0000-0000-0000E0080000}"/>
    <cellStyle name="Cellule liée 7" xfId="1458" xr:uid="{00000000-0005-0000-0000-0000E1080000}"/>
    <cellStyle name="Cellule liée 7 2" xfId="2071" xr:uid="{00000000-0005-0000-0000-0000E2080000}"/>
    <cellStyle name="Cellule liée 7 3" xfId="3306" xr:uid="{00000000-0005-0000-0000-0000E3080000}"/>
    <cellStyle name="Cellule liée 8" xfId="3561" xr:uid="{00000000-0005-0000-0000-0000E4080000}"/>
    <cellStyle name="Cellule liée 9" xfId="4510" xr:uid="{00000000-0005-0000-0000-0000E5080000}"/>
    <cellStyle name="Comma [0]_Division I" xfId="5735" xr:uid="{00000000-0005-0000-0000-0000E6080000}"/>
    <cellStyle name="Comma 2" xfId="5736" xr:uid="{00000000-0005-0000-0000-0000E7080000}"/>
    <cellStyle name="Comma 2 2" xfId="6048" xr:uid="{00000000-0005-0000-0000-0000E8080000}"/>
    <cellStyle name="Comma 2 2 2" xfId="8848" xr:uid="{D7BD8948-A75C-453C-B9EF-20B03EA01918}"/>
    <cellStyle name="Comma 2 3" xfId="8597" xr:uid="{271B54EF-0544-44CE-A163-D3A7F25A2CEE}"/>
    <cellStyle name="Comma 3" xfId="5737" xr:uid="{00000000-0005-0000-0000-0000E9080000}"/>
    <cellStyle name="Comma 3 2" xfId="6049" xr:uid="{00000000-0005-0000-0000-0000EA080000}"/>
    <cellStyle name="Comma 3 3" xfId="8598" xr:uid="{72697A52-6FC6-4442-A486-724EC65D9F7D}"/>
    <cellStyle name="Comma_Division I" xfId="5738" xr:uid="{00000000-0005-0000-0000-0000EB080000}"/>
    <cellStyle name="Commentaire" xfId="295" builtinId="10" customBuiltin="1"/>
    <cellStyle name="Commentaire 10" xfId="3307" xr:uid="{00000000-0005-0000-0000-0000EC080000}"/>
    <cellStyle name="Commentaire 10 2" xfId="3683" xr:uid="{00000000-0005-0000-0000-0000ED080000}"/>
    <cellStyle name="Commentaire 10 2 2" xfId="3764" xr:uid="{00000000-0005-0000-0000-0000EE080000}"/>
    <cellStyle name="Commentaire 10 2 2 2" xfId="7224" xr:uid="{FFC48C27-5256-4E1E-BA19-3C34B23F61E8}"/>
    <cellStyle name="Commentaire 10 2 3" xfId="4518" xr:uid="{00000000-0005-0000-0000-0000EF080000}"/>
    <cellStyle name="Commentaire 10 2 3 2" xfId="7695" xr:uid="{5B022D16-C501-4FB1-B820-26D8C00D1A05}"/>
    <cellStyle name="Commentaire 10 2 4" xfId="5148" xr:uid="{00000000-0005-0000-0000-0000F0080000}"/>
    <cellStyle name="Commentaire 10 2 4 2" xfId="8098" xr:uid="{CAFA0544-89B3-4A7B-B8FD-BEB20EDABECA}"/>
    <cellStyle name="Commentaire 10 2 5" xfId="7165" xr:uid="{10AAF6CA-BCD0-4035-92DC-A81F28C4F0AE}"/>
    <cellStyle name="Commentaire 10 3" xfId="2242" xr:uid="{00000000-0005-0000-0000-0000F1080000}"/>
    <cellStyle name="Commentaire 10 3 2" xfId="6685" xr:uid="{E68A0804-52F4-4942-A23C-65F8CA50E56A}"/>
    <cellStyle name="Commentaire 10 4" xfId="2707" xr:uid="{00000000-0005-0000-0000-0000F2080000}"/>
    <cellStyle name="Commentaire 10 4 2" xfId="6896" xr:uid="{5108CF09-5B32-43AD-8FE3-D6C18DD925ED}"/>
    <cellStyle name="Commentaire 10 5" xfId="4732" xr:uid="{00000000-0005-0000-0000-0000F3080000}"/>
    <cellStyle name="Commentaire 10 5 2" xfId="7816" xr:uid="{79631C54-67F0-4F3B-8DAB-8A0CAA9793E7}"/>
    <cellStyle name="Commentaire 10 6" xfId="5618" xr:uid="{00000000-0005-0000-0000-0000F4080000}"/>
    <cellStyle name="Commentaire 10 6 2" xfId="8507" xr:uid="{965A68C7-D553-4A22-970C-387F3DB451BF}"/>
    <cellStyle name="Commentaire 10 7" xfId="6998" xr:uid="{0122ADA6-EC05-4938-9C1E-2F9B62AD8F3D}"/>
    <cellStyle name="Commentaire 11" xfId="3308" xr:uid="{00000000-0005-0000-0000-0000F5080000}"/>
    <cellStyle name="Commentaire 11 2" xfId="3684" xr:uid="{00000000-0005-0000-0000-0000F6080000}"/>
    <cellStyle name="Commentaire 11 2 2" xfId="3765" xr:uid="{00000000-0005-0000-0000-0000F7080000}"/>
    <cellStyle name="Commentaire 11 2 2 2" xfId="7225" xr:uid="{E674719E-C1D8-40A0-8840-3A605D68C184}"/>
    <cellStyle name="Commentaire 11 2 3" xfId="4519" xr:uid="{00000000-0005-0000-0000-0000F8080000}"/>
    <cellStyle name="Commentaire 11 2 3 2" xfId="7696" xr:uid="{57E75750-C62D-4A75-8B99-3FC211EFA03F}"/>
    <cellStyle name="Commentaire 11 2 4" xfId="5149" xr:uid="{00000000-0005-0000-0000-0000F9080000}"/>
    <cellStyle name="Commentaire 11 2 4 2" xfId="8099" xr:uid="{8C45A0FC-345D-42BC-91AC-FB3312B3CE79}"/>
    <cellStyle name="Commentaire 11 2 5" xfId="7166" xr:uid="{FB893ED2-6BB4-410E-9DF6-B291660C6F5F}"/>
    <cellStyle name="Commentaire 11 3" xfId="2265" xr:uid="{00000000-0005-0000-0000-0000FA080000}"/>
    <cellStyle name="Commentaire 11 3 2" xfId="6692" xr:uid="{07A11579-C366-4752-BE36-DE68FC6CBC78}"/>
    <cellStyle name="Commentaire 11 4" xfId="2591" xr:uid="{00000000-0005-0000-0000-0000FB080000}"/>
    <cellStyle name="Commentaire 11 4 2" xfId="6834" xr:uid="{30026889-33F2-44C4-8E2D-088F9E365301}"/>
    <cellStyle name="Commentaire 11 5" xfId="4729" xr:uid="{00000000-0005-0000-0000-0000FC080000}"/>
    <cellStyle name="Commentaire 11 5 2" xfId="7813" xr:uid="{8DE02E45-61E5-48DD-94EF-825844EDE475}"/>
    <cellStyle name="Commentaire 11 6" xfId="5617" xr:uid="{00000000-0005-0000-0000-0000FD080000}"/>
    <cellStyle name="Commentaire 11 6 2" xfId="8506" xr:uid="{2BD4FC7A-9BB4-447B-9024-1F41BE6F3D67}"/>
    <cellStyle name="Commentaire 11 7" xfId="6999" xr:uid="{A139EAAE-88A3-4079-BB97-42F764D52F39}"/>
    <cellStyle name="Commentaire 12" xfId="3562" xr:uid="{00000000-0005-0000-0000-0000FE080000}"/>
    <cellStyle name="Commentaire 12 2" xfId="3738" xr:uid="{00000000-0005-0000-0000-0000FF080000}"/>
    <cellStyle name="Commentaire 12 2 2" xfId="7219" xr:uid="{2F48B8B1-9494-469D-8E2F-9432FA61227D}"/>
    <cellStyle name="Commentaire 12 3" xfId="3653" xr:uid="{00000000-0005-0000-0000-000000090000}"/>
    <cellStyle name="Commentaire 12 3 2" xfId="7139" xr:uid="{BDAB3D3A-57C9-4C9A-A078-6C9D1DEF32D1}"/>
    <cellStyle name="Commentaire 12 4" xfId="2399" xr:uid="{00000000-0005-0000-0000-000001090000}"/>
    <cellStyle name="Commentaire 12 4 2" xfId="6732" xr:uid="{5DE910C3-2FF1-4171-8E84-9BE324E87561}"/>
    <cellStyle name="Commentaire 12 5" xfId="4520" xr:uid="{00000000-0005-0000-0000-000002090000}"/>
    <cellStyle name="Commentaire 12 5 2" xfId="7697" xr:uid="{EE96BE8F-AFC1-478E-AC68-237EDFE30F4E}"/>
    <cellStyle name="Commentaire 12 6" xfId="4133" xr:uid="{00000000-0005-0000-0000-000003090000}"/>
    <cellStyle name="Commentaire 12 6 2" xfId="7403" xr:uid="{2766FF1C-CD5E-4861-A7C4-ED6CCED3BB51}"/>
    <cellStyle name="Commentaire 12 7" xfId="5572" xr:uid="{00000000-0005-0000-0000-000004090000}"/>
    <cellStyle name="Commentaire 12 7 2" xfId="8466" xr:uid="{26FC904E-A8AD-4902-A61C-A2A1173D0F9B}"/>
    <cellStyle name="Commentaire 12 8" xfId="7099" xr:uid="{77C62862-9DD6-43A4-B6E5-CE285861A430}"/>
    <cellStyle name="Commentaire 13" xfId="2888" xr:uid="{00000000-0005-0000-0000-000005090000}"/>
    <cellStyle name="Commentaire 13 2" xfId="3664" xr:uid="{00000000-0005-0000-0000-000006090000}"/>
    <cellStyle name="Commentaire 13 2 2" xfId="7146" xr:uid="{BF192995-D5BE-444A-99B0-B85E59852BB2}"/>
    <cellStyle name="Commentaire 13 3" xfId="2356" xr:uid="{00000000-0005-0000-0000-000007090000}"/>
    <cellStyle name="Commentaire 13 3 2" xfId="6711" xr:uid="{CC00C3D4-78F9-472B-9A7E-66DAABBF5164}"/>
    <cellStyle name="Commentaire 13 4" xfId="6942" xr:uid="{77241A3A-9579-408C-9AB4-95D30968F47C}"/>
    <cellStyle name="Commentaire 14" xfId="2849" xr:uid="{00000000-0005-0000-0000-000008090000}"/>
    <cellStyle name="Commentaire 14 2" xfId="2580" xr:uid="{00000000-0005-0000-0000-000009090000}"/>
    <cellStyle name="Commentaire 14 2 2" xfId="6829" xr:uid="{10BF6780-C06B-4CDC-B989-77B3A3CD7646}"/>
    <cellStyle name="Commentaire 14 3" xfId="6938" xr:uid="{507D893E-CA85-49DF-9236-41496D3C6BA5}"/>
    <cellStyle name="Commentaire 15" xfId="2447" xr:uid="{00000000-0005-0000-0000-00000A090000}"/>
    <cellStyle name="Commentaire 15 2" xfId="2546" xr:uid="{00000000-0005-0000-0000-00000B090000}"/>
    <cellStyle name="Commentaire 15 2 2" xfId="6819" xr:uid="{9A85E2B5-9A61-4130-8D8C-C0F24C4F6CF2}"/>
    <cellStyle name="Commentaire 15 3" xfId="6760" xr:uid="{25F32214-F5A0-48EA-975B-15881D049965}"/>
    <cellStyle name="Commentaire 16" xfId="2686" xr:uid="{00000000-0005-0000-0000-00000C090000}"/>
    <cellStyle name="Commentaire 16 2" xfId="6887" xr:uid="{94C25786-C1C3-40B0-8F48-2864C6DC06C7}"/>
    <cellStyle name="Commentaire 17" xfId="4793" xr:uid="{00000000-0005-0000-0000-00000D090000}"/>
    <cellStyle name="Commentaire 17 2" xfId="7861" xr:uid="{EF9D35F6-B976-4944-B7D0-2811A02C5A5C}"/>
    <cellStyle name="Commentaire 18" xfId="5184" xr:uid="{00000000-0005-0000-0000-00000E090000}"/>
    <cellStyle name="Commentaire 18 2" xfId="8131" xr:uid="{B669B2F5-6C40-4B05-9F5C-18B3BDF40DCB}"/>
    <cellStyle name="Commentaire 2" xfId="296" xr:uid="{00000000-0005-0000-0000-00000F090000}"/>
    <cellStyle name="Commentaire 2 10" xfId="1484" xr:uid="{00000000-0005-0000-0000-000010090000}"/>
    <cellStyle name="Commentaire 2 10 2" xfId="2449" xr:uid="{00000000-0005-0000-0000-000011090000}"/>
    <cellStyle name="Commentaire 2 10 2 2" xfId="6762" xr:uid="{07EDB247-68D0-479D-A4E3-9499635F8C15}"/>
    <cellStyle name="Commentaire 2 10 3" xfId="4521" xr:uid="{00000000-0005-0000-0000-000012090000}"/>
    <cellStyle name="Commentaire 2 10 3 2" xfId="7698" xr:uid="{A65CA7AA-BC15-47D9-BDB6-24FD5F854C11}"/>
    <cellStyle name="Commentaire 2 10 4" xfId="5470" xr:uid="{00000000-0005-0000-0000-000013090000}"/>
    <cellStyle name="Commentaire 2 10 4 2" xfId="8376" xr:uid="{664AE0D4-6105-4D88-8B87-47CBBE7E0323}"/>
    <cellStyle name="Commentaire 2 10 5" xfId="6454" xr:uid="{2AF1E282-0167-4DD7-9A38-8CF57DFDBD7F}"/>
    <cellStyle name="Commentaire 2 11" xfId="1485" xr:uid="{00000000-0005-0000-0000-000014090000}"/>
    <cellStyle name="Commentaire 2 11 2" xfId="2450" xr:uid="{00000000-0005-0000-0000-000015090000}"/>
    <cellStyle name="Commentaire 2 11 3" xfId="4522" xr:uid="{00000000-0005-0000-0000-000016090000}"/>
    <cellStyle name="Commentaire 2 11 3 2" xfId="7699" xr:uid="{18BAF599-531C-44A6-91D9-B657841058A2}"/>
    <cellStyle name="Commentaire 2 11 4" xfId="6455" xr:uid="{6E63E555-5F40-4EBF-BBB3-48ADF90C7437}"/>
    <cellStyle name="Commentaire 2 12" xfId="1486" xr:uid="{00000000-0005-0000-0000-000017090000}"/>
    <cellStyle name="Commentaire 2 13" xfId="2448" xr:uid="{00000000-0005-0000-0000-000018090000}"/>
    <cellStyle name="Commentaire 2 13 2" xfId="6761" xr:uid="{C2EC5B62-1F22-46DF-8BA8-E3179B63E91D}"/>
    <cellStyle name="Commentaire 2 14" xfId="2685" xr:uid="{00000000-0005-0000-0000-000019090000}"/>
    <cellStyle name="Commentaire 2 14 2" xfId="6886" xr:uid="{99629D83-A68A-468A-900B-143930688B9D}"/>
    <cellStyle name="Commentaire 2 15" xfId="2246" xr:uid="{00000000-0005-0000-0000-00001A090000}"/>
    <cellStyle name="Commentaire 2 15 2" xfId="6686" xr:uid="{C21AC694-17F0-4898-82D3-7554F3F6A1F6}"/>
    <cellStyle name="Commentaire 2 16" xfId="5049" xr:uid="{00000000-0005-0000-0000-00001B090000}"/>
    <cellStyle name="Commentaire 2 16 2" xfId="8011" xr:uid="{F319D411-0AA6-46AB-A010-B9D427407ED0}"/>
    <cellStyle name="Commentaire 2 17" xfId="5417" xr:uid="{00000000-0005-0000-0000-00001C090000}"/>
    <cellStyle name="Commentaire 2 17 2" xfId="8334" xr:uid="{43C150C3-20E7-4E59-87D7-7C24109DEC81}"/>
    <cellStyle name="Commentaire 2 18" xfId="613" xr:uid="{00000000-0005-0000-0000-00001D090000}"/>
    <cellStyle name="Commentaire 2 18 2" xfId="6314" xr:uid="{FE978A14-BC94-44C8-A3FB-500B4B01FC78}"/>
    <cellStyle name="Commentaire 2 19" xfId="5739" xr:uid="{00000000-0005-0000-0000-00001E090000}"/>
    <cellStyle name="Commentaire 2 19 2" xfId="8599" xr:uid="{8E1A66B4-73B6-4F5A-88CF-3D55EA6B25D9}"/>
    <cellStyle name="Commentaire 2 2" xfId="297" xr:uid="{00000000-0005-0000-0000-00001F090000}"/>
    <cellStyle name="Commentaire 2 2 10" xfId="5740" xr:uid="{00000000-0005-0000-0000-000020090000}"/>
    <cellStyle name="Commentaire 2 2 10 2" xfId="8600" xr:uid="{958FD05D-E1BE-4251-A527-BCF60FA130EB}"/>
    <cellStyle name="Commentaire 2 2 11" xfId="5691" xr:uid="{00000000-0005-0000-0000-000021090000}"/>
    <cellStyle name="Commentaire 2 2 11 2" xfId="8559" xr:uid="{7FA8B392-6863-4558-8501-4AE8A93D4F85}"/>
    <cellStyle name="Commentaire 2 2 12" xfId="6188" xr:uid="{BF705BAF-6E62-4EE7-B966-823B5D90B21C}"/>
    <cellStyle name="Commentaire 2 2 2" xfId="1487" xr:uid="{00000000-0005-0000-0000-000022090000}"/>
    <cellStyle name="Commentaire 2 2 2 10" xfId="6456" xr:uid="{FE91DBC8-B148-4423-8986-1DD82AE01B27}"/>
    <cellStyle name="Commentaire 2 2 2 2" xfId="2452" xr:uid="{00000000-0005-0000-0000-000023090000}"/>
    <cellStyle name="Commentaire 2 2 2 2 2" xfId="2262" xr:uid="{00000000-0005-0000-0000-000024090000}"/>
    <cellStyle name="Commentaire 2 2 2 2 2 2" xfId="6691" xr:uid="{0F84D135-D2F7-423F-9899-196B8094326F}"/>
    <cellStyle name="Commentaire 2 2 2 2 3" xfId="4524" xr:uid="{00000000-0005-0000-0000-000025090000}"/>
    <cellStyle name="Commentaire 2 2 2 2 3 2" xfId="7700" xr:uid="{9FF393D7-C898-4EEF-B104-AECA9D8010E0}"/>
    <cellStyle name="Commentaire 2 2 2 2 4" xfId="5150" xr:uid="{00000000-0005-0000-0000-000026090000}"/>
    <cellStyle name="Commentaire 2 2 2 2 4 2" xfId="8100" xr:uid="{8D6EFC5C-2A1C-4B4B-9973-A4DDD72D1EB4}"/>
    <cellStyle name="Commentaire 2 2 2 2 5" xfId="6764" xr:uid="{42C3E14E-9EED-4882-9C31-2AD77C9D55E1}"/>
    <cellStyle name="Commentaire 2 2 2 3" xfId="3685" xr:uid="{00000000-0005-0000-0000-000027090000}"/>
    <cellStyle name="Commentaire 2 2 2 3 2" xfId="7167" xr:uid="{54768428-F698-42A8-AAAF-7920453976DC}"/>
    <cellStyle name="Commentaire 2 2 2 4" xfId="2683" xr:uid="{00000000-0005-0000-0000-000028090000}"/>
    <cellStyle name="Commentaire 2 2 2 4 2" xfId="6884" xr:uid="{D9099D56-43C9-44E9-BCE3-3C46E1D0236A}"/>
    <cellStyle name="Commentaire 2 2 2 5" xfId="2397" xr:uid="{00000000-0005-0000-0000-000029090000}"/>
    <cellStyle name="Commentaire 2 2 2 5 2" xfId="6730" xr:uid="{7F5E8091-14D5-4701-86E4-D8340A19415E}"/>
    <cellStyle name="Commentaire 2 2 2 6" xfId="4132" xr:uid="{00000000-0005-0000-0000-00002A090000}"/>
    <cellStyle name="Commentaire 2 2 2 6 2" xfId="7402" xr:uid="{AFAF98AF-B1AE-4FAF-8A6B-BA31DB5119AE}"/>
    <cellStyle name="Commentaire 2 2 2 7" xfId="5471" xr:uid="{00000000-0005-0000-0000-00002B090000}"/>
    <cellStyle name="Commentaire 2 2 2 7 2" xfId="8377" xr:uid="{B137702A-87C3-44D2-B787-C4CCAD50ED6A}"/>
    <cellStyle name="Commentaire 2 2 2 8" xfId="5741" xr:uid="{00000000-0005-0000-0000-00002C090000}"/>
    <cellStyle name="Commentaire 2 2 2 8 2" xfId="8601" xr:uid="{4D01E5FF-CE25-4246-A13D-362E7BBC1443}"/>
    <cellStyle name="Commentaire 2 2 2 9" xfId="5690" xr:uid="{00000000-0005-0000-0000-00002D090000}"/>
    <cellStyle name="Commentaire 2 2 2 9 2" xfId="8558" xr:uid="{39FF7A33-C518-4F7A-A9B7-84AAA1A59634}"/>
    <cellStyle name="Commentaire 2 2 3" xfId="1488" xr:uid="{00000000-0005-0000-0000-00002E090000}"/>
    <cellStyle name="Commentaire 2 2 3 2" xfId="2453" xr:uid="{00000000-0005-0000-0000-00002F090000}"/>
    <cellStyle name="Commentaire 2 2 3 2 2" xfId="4526" xr:uid="{00000000-0005-0000-0000-000030090000}"/>
    <cellStyle name="Commentaire 2 2 3 2 2 2" xfId="7702" xr:uid="{81B38490-78AB-4498-BEE3-38E8C1D8EB61}"/>
    <cellStyle name="Commentaire 2 2 3 2 3" xfId="6765" xr:uid="{211765CA-615D-42BD-AF19-F1DF08FDA8A4}"/>
    <cellStyle name="Commentaire 2 2 3 3" xfId="2352" xr:uid="{00000000-0005-0000-0000-000031090000}"/>
    <cellStyle name="Commentaire 2 2 3 3 2" xfId="6709" xr:uid="{2CC3BE63-8B65-4BD9-80FB-6627882E32D3}"/>
    <cellStyle name="Commentaire 2 2 3 4" xfId="4525" xr:uid="{00000000-0005-0000-0000-000032090000}"/>
    <cellStyle name="Commentaire 2 2 3 4 2" xfId="7701" xr:uid="{5508CDBD-4469-47C7-A747-E08EC38ABE9F}"/>
    <cellStyle name="Commentaire 2 2 3 5" xfId="5140" xr:uid="{00000000-0005-0000-0000-000033090000}"/>
    <cellStyle name="Commentaire 2 2 3 5 2" xfId="8091" xr:uid="{0C20ADA0-570E-4B18-9115-83051BEF86F8}"/>
    <cellStyle name="Commentaire 2 2 3 6" xfId="5472" xr:uid="{00000000-0005-0000-0000-000034090000}"/>
    <cellStyle name="Commentaire 2 2 3 6 2" xfId="8378" xr:uid="{1BB307CE-EBB8-4A14-BC0D-2EE6E06ED5A8}"/>
    <cellStyle name="Commentaire 2 2 3 7" xfId="5742" xr:uid="{00000000-0005-0000-0000-000035090000}"/>
    <cellStyle name="Commentaire 2 2 3 7 2" xfId="8602" xr:uid="{323B1355-4B79-4C72-BB57-F73F77C448B5}"/>
    <cellStyle name="Commentaire 2 2 3 8" xfId="5689" xr:uid="{00000000-0005-0000-0000-000036090000}"/>
    <cellStyle name="Commentaire 2 2 3 8 2" xfId="8557" xr:uid="{DC0DE33A-9FB4-4321-9A67-975B3402C803}"/>
    <cellStyle name="Commentaire 2 2 3 9" xfId="6457" xr:uid="{C3AE9B89-44E6-4C76-B645-1E78C1C69158}"/>
    <cellStyle name="Commentaire 2 2 4" xfId="2451" xr:uid="{00000000-0005-0000-0000-000037090000}"/>
    <cellStyle name="Commentaire 2 2 4 2" xfId="3666" xr:uid="{00000000-0005-0000-0000-000038090000}"/>
    <cellStyle name="Commentaire 2 2 4 2 2" xfId="7148" xr:uid="{CB692161-1C37-4FB3-B312-04197E56EE36}"/>
    <cellStyle name="Commentaire 2 2 4 3" xfId="6763" xr:uid="{086FD391-012C-4989-91CE-A1FFE50BCD09}"/>
    <cellStyle name="Commentaire 2 2 5" xfId="2684" xr:uid="{00000000-0005-0000-0000-000039090000}"/>
    <cellStyle name="Commentaire 2 2 5 2" xfId="6885" xr:uid="{BCB64276-DC07-4627-BF59-FA9A65384DF3}"/>
    <cellStyle name="Commentaire 2 2 6" xfId="2398" xr:uid="{00000000-0005-0000-0000-00003A090000}"/>
    <cellStyle name="Commentaire 2 2 6 2" xfId="6731" xr:uid="{AE79DDFB-3798-4997-AE13-D68A38528C72}"/>
    <cellStyle name="Commentaire 2 2 7" xfId="4114" xr:uid="{00000000-0005-0000-0000-00003B090000}"/>
    <cellStyle name="Commentaire 2 2 7 2" xfId="7387" xr:uid="{071EE7EA-8109-4D44-9631-CB0DC990A86E}"/>
    <cellStyle name="Commentaire 2 2 8" xfId="5418" xr:uid="{00000000-0005-0000-0000-00003C090000}"/>
    <cellStyle name="Commentaire 2 2 8 2" xfId="8335" xr:uid="{5A540B4A-C059-4A57-8A80-B1B877FC1930}"/>
    <cellStyle name="Commentaire 2 2 9" xfId="654" xr:uid="{00000000-0005-0000-0000-00003D090000}"/>
    <cellStyle name="Commentaire 2 2 9 2" xfId="6331" xr:uid="{4BA59264-4DA6-4A0F-9024-30088BB0C441}"/>
    <cellStyle name="Commentaire 2 20" xfId="5692" xr:uid="{00000000-0005-0000-0000-00003E090000}"/>
    <cellStyle name="Commentaire 2 20 2" xfId="8560" xr:uid="{E567EA92-1CAF-4A88-86DB-9100415ECEC1}"/>
    <cellStyle name="Commentaire 2 21" xfId="6187" xr:uid="{FAE4C402-866F-4242-8379-631FBBE1B153}"/>
    <cellStyle name="Commentaire 2 3" xfId="298" xr:uid="{00000000-0005-0000-0000-00003F090000}"/>
    <cellStyle name="Commentaire 2 3 10" xfId="655" xr:uid="{00000000-0005-0000-0000-000040090000}"/>
    <cellStyle name="Commentaire 2 3 10 2" xfId="6332" xr:uid="{EAF6A6E2-034D-4B96-838B-17F749CC4552}"/>
    <cellStyle name="Commentaire 2 3 11" xfId="5743" xr:uid="{00000000-0005-0000-0000-000041090000}"/>
    <cellStyle name="Commentaire 2 3 11 2" xfId="8603" xr:uid="{F4E4C6BA-9169-4B89-929D-E34A2A7EDE8C}"/>
    <cellStyle name="Commentaire 2 3 12" xfId="5688" xr:uid="{00000000-0005-0000-0000-000042090000}"/>
    <cellStyle name="Commentaire 2 3 12 2" xfId="8556" xr:uid="{4D45308E-6FDF-4868-9DBE-8EB45F9D7281}"/>
    <cellStyle name="Commentaire 2 3 13" xfId="6189" xr:uid="{EA8FE1E6-7F85-428D-9D6D-64E7AFE7E71D}"/>
    <cellStyle name="Commentaire 2 3 2" xfId="1489" xr:uid="{00000000-0005-0000-0000-000043090000}"/>
    <cellStyle name="Commentaire 2 3 2 10" xfId="5687" xr:uid="{00000000-0005-0000-0000-000044090000}"/>
    <cellStyle name="Commentaire 2 3 2 10 2" xfId="8555" xr:uid="{F9782822-0031-400C-B7E5-BA871471F4B6}"/>
    <cellStyle name="Commentaire 2 3 2 11" xfId="6458" xr:uid="{83EF0A3B-4A49-4138-8FD1-533CDF718026}"/>
    <cellStyle name="Commentaire 2 3 2 2" xfId="3309" xr:uid="{00000000-0005-0000-0000-000045090000}"/>
    <cellStyle name="Commentaire 2 3 2 2 2" xfId="3686" xr:uid="{00000000-0005-0000-0000-000046090000}"/>
    <cellStyle name="Commentaire 2 3 2 2 2 2" xfId="4528" xr:uid="{00000000-0005-0000-0000-000047090000}"/>
    <cellStyle name="Commentaire 2 3 2 2 2 2 2" xfId="7704" xr:uid="{8289EA47-C992-4942-AF44-156451BFB926}"/>
    <cellStyle name="Commentaire 2 3 2 2 2 3" xfId="7168" xr:uid="{C34175FB-7A04-4AC1-BA80-0D909F472126}"/>
    <cellStyle name="Commentaire 2 3 2 2 3" xfId="3767" xr:uid="{00000000-0005-0000-0000-000048090000}"/>
    <cellStyle name="Commentaire 2 3 2 2 3 2" xfId="7227" xr:uid="{D437B447-23DF-4499-A97A-C7B478D43F17}"/>
    <cellStyle name="Commentaire 2 3 2 2 4" xfId="4527" xr:uid="{00000000-0005-0000-0000-000049090000}"/>
    <cellStyle name="Commentaire 2 3 2 2 4 2" xfId="7703" xr:uid="{5626B119-9D89-4FAC-9D4D-75B152A5366C}"/>
    <cellStyle name="Commentaire 2 3 2 2 5" xfId="5151" xr:uid="{00000000-0005-0000-0000-00004A090000}"/>
    <cellStyle name="Commentaire 2 3 2 2 5 2" xfId="8101" xr:uid="{CD75514B-B2D5-415B-A5D1-462B2058F32B}"/>
    <cellStyle name="Commentaire 2 3 2 2 6" xfId="7000" xr:uid="{716935FE-DBFE-4139-82E4-63A0D40D4EB1}"/>
    <cellStyle name="Commentaire 2 3 2 3" xfId="2455" xr:uid="{00000000-0005-0000-0000-00004B090000}"/>
    <cellStyle name="Commentaire 2 3 2 3 2" xfId="6767" xr:uid="{B7261A91-19D1-4BD7-A71F-EBCBC1889E7D}"/>
    <cellStyle name="Commentaire 2 3 2 4" xfId="2039" xr:uid="{00000000-0005-0000-0000-00004C090000}"/>
    <cellStyle name="Commentaire 2 3 2 4 2" xfId="6610" xr:uid="{781959AC-0B59-4D38-9851-31C53E6E1C09}"/>
    <cellStyle name="Commentaire 2 3 2 5" xfId="2149" xr:uid="{00000000-0005-0000-0000-00004D090000}"/>
    <cellStyle name="Commentaire 2 3 2 5 2" xfId="6650" xr:uid="{61A76CCC-95BA-4F5C-9573-60F09B7328AF}"/>
    <cellStyle name="Commentaire 2 3 2 6" xfId="4149" xr:uid="{00000000-0005-0000-0000-00004E090000}"/>
    <cellStyle name="Commentaire 2 3 2 6 2" xfId="7407" xr:uid="{FD8A2251-24A6-4357-BD4F-42731D95FA28}"/>
    <cellStyle name="Commentaire 2 3 2 7" xfId="5473" xr:uid="{00000000-0005-0000-0000-00004F090000}"/>
    <cellStyle name="Commentaire 2 3 2 7 2" xfId="8379" xr:uid="{AD8D7E10-9FA7-46A9-875A-3CD2F91BF7E7}"/>
    <cellStyle name="Commentaire 2 3 2 8" xfId="5616" xr:uid="{00000000-0005-0000-0000-000050090000}"/>
    <cellStyle name="Commentaire 2 3 2 8 2" xfId="8505" xr:uid="{E5ACE194-F462-491D-BA55-0FF2F6E4D115}"/>
    <cellStyle name="Commentaire 2 3 2 9" xfId="5744" xr:uid="{00000000-0005-0000-0000-000051090000}"/>
    <cellStyle name="Commentaire 2 3 2 9 2" xfId="8604" xr:uid="{40CDC06C-972A-44D8-8D9C-09BD69BB505D}"/>
    <cellStyle name="Commentaire 2 3 3" xfId="1490" xr:uid="{00000000-0005-0000-0000-000052090000}"/>
    <cellStyle name="Commentaire 2 3 3 2" xfId="3310" xr:uid="{00000000-0005-0000-0000-000053090000}"/>
    <cellStyle name="Commentaire 2 3 3 2 2" xfId="3687" xr:uid="{00000000-0005-0000-0000-000054090000}"/>
    <cellStyle name="Commentaire 2 3 3 2 2 2" xfId="7169" xr:uid="{DF294879-353D-4003-9ED4-E33611EB88FC}"/>
    <cellStyle name="Commentaire 2 3 3 2 3" xfId="3768" xr:uid="{00000000-0005-0000-0000-000055090000}"/>
    <cellStyle name="Commentaire 2 3 3 2 3 2" xfId="7228" xr:uid="{E3CF3081-02F3-4E59-A92C-A3A396B1E178}"/>
    <cellStyle name="Commentaire 2 3 3 2 4" xfId="4530" xr:uid="{00000000-0005-0000-0000-000056090000}"/>
    <cellStyle name="Commentaire 2 3 3 2 4 2" xfId="7706" xr:uid="{632E25F6-67EC-42FE-9F7C-32DF28D699ED}"/>
    <cellStyle name="Commentaire 2 3 3 2 5" xfId="5152" xr:uid="{00000000-0005-0000-0000-000057090000}"/>
    <cellStyle name="Commentaire 2 3 3 2 5 2" xfId="8102" xr:uid="{648BB848-64C3-44ED-8313-6DCF6694DAC6}"/>
    <cellStyle name="Commentaire 2 3 3 2 6" xfId="7001" xr:uid="{D33682B9-7C1D-42D1-995D-F2CD56DFE06B}"/>
    <cellStyle name="Commentaire 2 3 3 3" xfId="2041" xr:uid="{00000000-0005-0000-0000-000058090000}"/>
    <cellStyle name="Commentaire 2 3 3 3 2" xfId="4531" xr:uid="{00000000-0005-0000-0000-000059090000}"/>
    <cellStyle name="Commentaire 2 3 3 3 2 2" xfId="7707" xr:uid="{2DDB6BBB-C237-408B-9993-976FDF1FEF12}"/>
    <cellStyle name="Commentaire 2 3 3 3 3" xfId="6611" xr:uid="{B373D7D5-720C-4F5C-9E80-0647C3207E07}"/>
    <cellStyle name="Commentaire 2 3 3 4" xfId="2247" xr:uid="{00000000-0005-0000-0000-00005A090000}"/>
    <cellStyle name="Commentaire 2 3 3 4 2" xfId="6687" xr:uid="{6E9C2B93-E384-4BA4-8F89-02CC1A475984}"/>
    <cellStyle name="Commentaire 2 3 3 5" xfId="4529" xr:uid="{00000000-0005-0000-0000-00005B090000}"/>
    <cellStyle name="Commentaire 2 3 3 5 2" xfId="7705" xr:uid="{AB9FE205-AF4E-4C73-AF68-9035BE47852E}"/>
    <cellStyle name="Commentaire 2 3 3 6" xfId="4897" xr:uid="{00000000-0005-0000-0000-00005C090000}"/>
    <cellStyle name="Commentaire 2 3 3 6 2" xfId="7908" xr:uid="{0B6AA53D-FA0C-4A04-908C-F9824774F948}"/>
    <cellStyle name="Commentaire 2 3 3 7" xfId="5615" xr:uid="{00000000-0005-0000-0000-00005D090000}"/>
    <cellStyle name="Commentaire 2 3 3 7 2" xfId="8504" xr:uid="{166F5EC6-4651-44A5-8B95-9B19F7AF83B0}"/>
    <cellStyle name="Commentaire 2 3 3 8" xfId="6459" xr:uid="{970BF801-1FF4-4C1D-9AEC-81C85FEAC70A}"/>
    <cellStyle name="Commentaire 2 3 4" xfId="2454" xr:uid="{00000000-0005-0000-0000-00005E090000}"/>
    <cellStyle name="Commentaire 2 3 4 2" xfId="2350" xr:uid="{00000000-0005-0000-0000-00005F090000}"/>
    <cellStyle name="Commentaire 2 3 4 2 2" xfId="6708" xr:uid="{FA6516BD-9196-4785-B54F-DE64EECF5AF9}"/>
    <cellStyle name="Commentaire 2 3 4 3" xfId="4532" xr:uid="{00000000-0005-0000-0000-000060090000}"/>
    <cellStyle name="Commentaire 2 3 4 3 2" xfId="7708" xr:uid="{11579DB5-666A-491C-94B9-39EDD229EA90}"/>
    <cellStyle name="Commentaire 2 3 4 4" xfId="5141" xr:uid="{00000000-0005-0000-0000-000061090000}"/>
    <cellStyle name="Commentaire 2 3 4 4 2" xfId="8092" xr:uid="{6D970514-F93C-49D2-B175-A7AA0D1ADCDE}"/>
    <cellStyle name="Commentaire 2 3 4 5" xfId="6766" xr:uid="{443E0985-4C7B-4477-B477-010B011659B6}"/>
    <cellStyle name="Commentaire 2 3 5" xfId="3667" xr:uid="{00000000-0005-0000-0000-000062090000}"/>
    <cellStyle name="Commentaire 2 3 5 2" xfId="7149" xr:uid="{51801265-4BA5-4C14-A792-7ED522A39294}"/>
    <cellStyle name="Commentaire 2 3 6" xfId="2682" xr:uid="{00000000-0005-0000-0000-000063090000}"/>
    <cellStyle name="Commentaire 2 3 6 2" xfId="6883" xr:uid="{9E90D24A-F8C6-4128-86D8-DC19C2E56975}"/>
    <cellStyle name="Commentaire 2 3 7" xfId="3950" xr:uid="{00000000-0005-0000-0000-000064090000}"/>
    <cellStyle name="Commentaire 2 3 7 2" xfId="7259" xr:uid="{877E1B22-2E6B-4EB3-8B3C-C5DAA57D6297}"/>
    <cellStyle name="Commentaire 2 3 8" xfId="4788" xr:uid="{00000000-0005-0000-0000-000065090000}"/>
    <cellStyle name="Commentaire 2 3 8 2" xfId="7857" xr:uid="{1ACC3635-44E0-47DA-B983-FBA449AA93C3}"/>
    <cellStyle name="Commentaire 2 3 9" xfId="5419" xr:uid="{00000000-0005-0000-0000-000066090000}"/>
    <cellStyle name="Commentaire 2 3 9 2" xfId="8336" xr:uid="{2287AF99-BE16-4B62-8F94-2240ADE2003C}"/>
    <cellStyle name="Commentaire 2 4" xfId="1491" xr:uid="{00000000-0005-0000-0000-000067090000}"/>
    <cellStyle name="Commentaire 2 4 10" xfId="5686" xr:uid="{00000000-0005-0000-0000-000068090000}"/>
    <cellStyle name="Commentaire 2 4 10 2" xfId="8554" xr:uid="{42A6776B-ECA9-4C79-AB6B-F58AB6810304}"/>
    <cellStyle name="Commentaire 2 4 11" xfId="6460" xr:uid="{B2F29736-5D97-4BAE-B64C-870AA776C14E}"/>
    <cellStyle name="Commentaire 2 4 2" xfId="1492" xr:uid="{00000000-0005-0000-0000-000069090000}"/>
    <cellStyle name="Commentaire 2 4 2 10" xfId="5614" xr:uid="{00000000-0005-0000-0000-00006A090000}"/>
    <cellStyle name="Commentaire 2 4 2 10 2" xfId="8503" xr:uid="{70FFF9FA-4347-4459-83DD-3DCE0BE68FC6}"/>
    <cellStyle name="Commentaire 2 4 2 11" xfId="5746" xr:uid="{00000000-0005-0000-0000-00006B090000}"/>
    <cellStyle name="Commentaire 2 4 2 11 2" xfId="8606" xr:uid="{50035723-FF38-4F89-B581-0EE79B663B3E}"/>
    <cellStyle name="Commentaire 2 4 2 12" xfId="5685" xr:uid="{00000000-0005-0000-0000-00006C090000}"/>
    <cellStyle name="Commentaire 2 4 2 12 2" xfId="8553" xr:uid="{F890ACFF-1149-4147-9BB2-05C945EF1F87}"/>
    <cellStyle name="Commentaire 2 4 2 13" xfId="6461" xr:uid="{8462EC08-36F5-4F2D-BEAE-E30F39804D2A}"/>
    <cellStyle name="Commentaire 2 4 2 2" xfId="3311" xr:uid="{00000000-0005-0000-0000-00006D090000}"/>
    <cellStyle name="Commentaire 2 4 2 2 2" xfId="3688" xr:uid="{00000000-0005-0000-0000-00006E090000}"/>
    <cellStyle name="Commentaire 2 4 2 2 2 2" xfId="4535" xr:uid="{00000000-0005-0000-0000-00006F090000}"/>
    <cellStyle name="Commentaire 2 4 2 2 2 2 2" xfId="7711" xr:uid="{490879E7-64E7-4039-88A1-582FD2AA03F5}"/>
    <cellStyle name="Commentaire 2 4 2 2 2 3" xfId="7170" xr:uid="{04BD494C-6E97-4734-8E88-BCEE075DA6FE}"/>
    <cellStyle name="Commentaire 2 4 2 2 3" xfId="3769" xr:uid="{00000000-0005-0000-0000-000070090000}"/>
    <cellStyle name="Commentaire 2 4 2 2 3 2" xfId="7229" xr:uid="{9B143CB6-CBC3-4A77-B73E-9275FDB897A9}"/>
    <cellStyle name="Commentaire 2 4 2 2 4" xfId="4534" xr:uid="{00000000-0005-0000-0000-000071090000}"/>
    <cellStyle name="Commentaire 2 4 2 2 4 2" xfId="7710" xr:uid="{CD9CA6C5-5265-43D3-AE23-BF2BA1C6A7EC}"/>
    <cellStyle name="Commentaire 2 4 2 2 5" xfId="5153" xr:uid="{00000000-0005-0000-0000-000072090000}"/>
    <cellStyle name="Commentaire 2 4 2 2 5 2" xfId="8103" xr:uid="{AD17BE7B-2B6A-4842-9D44-E8C3E4805F75}"/>
    <cellStyle name="Commentaire 2 4 2 2 6" xfId="7002" xr:uid="{405EE827-9CB6-40C2-8AF8-66F2F8A12B7D}"/>
    <cellStyle name="Commentaire 2 4 2 3" xfId="2457" xr:uid="{00000000-0005-0000-0000-000073090000}"/>
    <cellStyle name="Commentaire 2 4 2 3 2" xfId="4536" xr:uid="{00000000-0005-0000-0000-000074090000}"/>
    <cellStyle name="Commentaire 2 4 2 3 2 2" xfId="7712" xr:uid="{B25F009C-8321-41D3-BD83-05B273063E55}"/>
    <cellStyle name="Commentaire 2 4 2 3 3" xfId="6769" xr:uid="{767F2D6F-93F3-45C5-B408-A9757C121108}"/>
    <cellStyle name="Commentaire 2 4 2 4" xfId="2042" xr:uid="{00000000-0005-0000-0000-000075090000}"/>
    <cellStyle name="Commentaire 2 4 2 4 2" xfId="6612" xr:uid="{43EC0016-5810-4CD7-A3F5-D6D320A59CCE}"/>
    <cellStyle name="Commentaire 2 4 2 5" xfId="2705" xr:uid="{00000000-0005-0000-0000-000076090000}"/>
    <cellStyle name="Commentaire 2 4 2 5 2" xfId="6895" xr:uid="{477170F1-93E0-4E28-BA7B-EDACEC34C928}"/>
    <cellStyle name="Commentaire 2 4 2 6" xfId="4533" xr:uid="{00000000-0005-0000-0000-000077090000}"/>
    <cellStyle name="Commentaire 2 4 2 6 2" xfId="7709" xr:uid="{C145DED6-E017-43AC-B62E-C008FFAB7E3B}"/>
    <cellStyle name="Commentaire 2 4 2 7" xfId="4898" xr:uid="{00000000-0005-0000-0000-000078090000}"/>
    <cellStyle name="Commentaire 2 4 2 7 2" xfId="7909" xr:uid="{C60A5FA7-5AE2-4668-B316-F23CAAF37D96}"/>
    <cellStyle name="Commentaire 2 4 2 8" xfId="4922" xr:uid="{00000000-0005-0000-0000-000079090000}"/>
    <cellStyle name="Commentaire 2 4 2 8 2" xfId="7918" xr:uid="{80B306A1-CC2B-4856-A39E-FE4122355465}"/>
    <cellStyle name="Commentaire 2 4 2 9" xfId="5475" xr:uid="{00000000-0005-0000-0000-00007A090000}"/>
    <cellStyle name="Commentaire 2 4 2 9 2" xfId="8381" xr:uid="{5F4193E3-2DFB-4BDA-AB9D-81A837BA58BE}"/>
    <cellStyle name="Commentaire 2 4 3" xfId="1493" xr:uid="{00000000-0005-0000-0000-00007B090000}"/>
    <cellStyle name="Commentaire 2 4 3 2" xfId="3668" xr:uid="{00000000-0005-0000-0000-00007C090000}"/>
    <cellStyle name="Commentaire 2 4 3 2 2" xfId="4538" xr:uid="{00000000-0005-0000-0000-00007D090000}"/>
    <cellStyle name="Commentaire 2 4 3 2 2 2" xfId="7714" xr:uid="{D55D3C81-5839-417C-ABAA-868D9F6C6EEE}"/>
    <cellStyle name="Commentaire 2 4 3 2 3" xfId="7150" xr:uid="{73D80640-441B-4C80-884D-C15EF3386414}"/>
    <cellStyle name="Commentaire 2 4 3 3" xfId="2196" xr:uid="{00000000-0005-0000-0000-00007E090000}"/>
    <cellStyle name="Commentaire 2 4 3 3 2" xfId="6664" xr:uid="{6B2055BE-9F91-4C46-B95B-F0A2AABC80E3}"/>
    <cellStyle name="Commentaire 2 4 3 4" xfId="4537" xr:uid="{00000000-0005-0000-0000-00007F090000}"/>
    <cellStyle name="Commentaire 2 4 3 4 2" xfId="7713" xr:uid="{6A697A2F-470B-490C-B22C-03E1090662A3}"/>
    <cellStyle name="Commentaire 2 4 3 5" xfId="5142" xr:uid="{00000000-0005-0000-0000-000080090000}"/>
    <cellStyle name="Commentaire 2 4 3 5 2" xfId="8093" xr:uid="{F0411E2B-CCFF-4D23-8FB0-4F78997B92BC}"/>
    <cellStyle name="Commentaire 2 4 3 6" xfId="6462" xr:uid="{F32E907E-AE3A-4016-A54D-68EA8C68B8FE}"/>
    <cellStyle name="Commentaire 2 4 4" xfId="2456" xr:uid="{00000000-0005-0000-0000-000081090000}"/>
    <cellStyle name="Commentaire 2 4 4 2" xfId="6768" xr:uid="{58EC3532-32E6-4BC6-90B8-841A86BF5886}"/>
    <cellStyle name="Commentaire 2 4 5" xfId="2349" xr:uid="{00000000-0005-0000-0000-000082090000}"/>
    <cellStyle name="Commentaire 2 4 5 2" xfId="6707" xr:uid="{C05F981B-8D58-413D-AE99-D50A44EA0D71}"/>
    <cellStyle name="Commentaire 2 4 6" xfId="2592" xr:uid="{00000000-0005-0000-0000-000083090000}"/>
    <cellStyle name="Commentaire 2 4 6 2" xfId="6835" xr:uid="{653B3A45-904B-4D3B-B430-2E85947CD286}"/>
    <cellStyle name="Commentaire 2 4 7" xfId="4735" xr:uid="{00000000-0005-0000-0000-000084090000}"/>
    <cellStyle name="Commentaire 2 4 7 2" xfId="7819" xr:uid="{4C4F2B7E-C838-4A61-AF25-31F3FF920110}"/>
    <cellStyle name="Commentaire 2 4 8" xfId="5474" xr:uid="{00000000-0005-0000-0000-000085090000}"/>
    <cellStyle name="Commentaire 2 4 8 2" xfId="8380" xr:uid="{78542C44-5990-43A3-9D97-16B0711AB191}"/>
    <cellStyle name="Commentaire 2 4 9" xfId="5745" xr:uid="{00000000-0005-0000-0000-000086090000}"/>
    <cellStyle name="Commentaire 2 4 9 2" xfId="8605" xr:uid="{AB194831-C97D-40EA-A3C0-1390E7BD5392}"/>
    <cellStyle name="Commentaire 2 5" xfId="1494" xr:uid="{00000000-0005-0000-0000-000087090000}"/>
    <cellStyle name="Commentaire 2 5 10" xfId="5684" xr:uid="{00000000-0005-0000-0000-000088090000}"/>
    <cellStyle name="Commentaire 2 5 10 2" xfId="8552" xr:uid="{15D0175D-B16E-4729-B829-61122A0D3852}"/>
    <cellStyle name="Commentaire 2 5 11" xfId="6463" xr:uid="{5ADCA294-B50F-444A-92E1-8730C5E1F16B}"/>
    <cellStyle name="Commentaire 2 5 2" xfId="3312" xr:uid="{00000000-0005-0000-0000-000089090000}"/>
    <cellStyle name="Commentaire 2 5 2 2" xfId="3689" xr:uid="{00000000-0005-0000-0000-00008A090000}"/>
    <cellStyle name="Commentaire 2 5 2 2 2" xfId="7171" xr:uid="{22CAF02D-D534-47E8-A488-AE237B7C624B}"/>
    <cellStyle name="Commentaire 2 5 2 3" xfId="3770" xr:uid="{00000000-0005-0000-0000-00008B090000}"/>
    <cellStyle name="Commentaire 2 5 2 3 2" xfId="7230" xr:uid="{58AF4054-8161-4116-87F2-245577C39EFD}"/>
    <cellStyle name="Commentaire 2 5 2 4" xfId="4540" xr:uid="{00000000-0005-0000-0000-00008C090000}"/>
    <cellStyle name="Commentaire 2 5 2 4 2" xfId="7716" xr:uid="{95E30642-5FA1-4D69-A1FE-521A11B3E81C}"/>
    <cellStyle name="Commentaire 2 5 2 5" xfId="5154" xr:uid="{00000000-0005-0000-0000-00008D090000}"/>
    <cellStyle name="Commentaire 2 5 2 5 2" xfId="8104" xr:uid="{246C0835-02BD-4635-84B7-66EBFF77E27A}"/>
    <cellStyle name="Commentaire 2 5 2 6" xfId="5748" xr:uid="{00000000-0005-0000-0000-00008E090000}"/>
    <cellStyle name="Commentaire 2 5 2 6 2" xfId="8608" xr:uid="{B036D73C-71AF-4BFB-AAA6-EAB20FC9676D}"/>
    <cellStyle name="Commentaire 2 5 2 7" xfId="5683" xr:uid="{00000000-0005-0000-0000-00008F090000}"/>
    <cellStyle name="Commentaire 2 5 2 7 2" xfId="8551" xr:uid="{3383194F-6FB1-4668-AF4E-ED276C2535D1}"/>
    <cellStyle name="Commentaire 2 5 2 8" xfId="7003" xr:uid="{26876138-4097-416C-8DC9-04B72245CE29}"/>
    <cellStyle name="Commentaire 2 5 3" xfId="2458" xr:uid="{00000000-0005-0000-0000-000090090000}"/>
    <cellStyle name="Commentaire 2 5 3 2" xfId="4541" xr:uid="{00000000-0005-0000-0000-000091090000}"/>
    <cellStyle name="Commentaire 2 5 3 2 2" xfId="7717" xr:uid="{1CD62CCF-164B-4ED5-B318-4DA21641E24A}"/>
    <cellStyle name="Commentaire 2 5 3 3" xfId="6770" xr:uid="{E76555A4-88B0-4A03-935F-22AAA50F6CF2}"/>
    <cellStyle name="Commentaire 2 5 4" xfId="2043" xr:uid="{00000000-0005-0000-0000-000092090000}"/>
    <cellStyle name="Commentaire 2 5 4 2" xfId="4539" xr:uid="{00000000-0005-0000-0000-000093090000}"/>
    <cellStyle name="Commentaire 2 5 4 2 2" xfId="7715" xr:uid="{B6355D7D-698E-47E5-8CDD-3E574BA3665B}"/>
    <cellStyle name="Commentaire 2 5 4 3" xfId="6613" xr:uid="{1FC8BFFD-36E6-4B98-90C4-6F9F194F18B7}"/>
    <cellStyle name="Commentaire 2 5 5" xfId="2589" xr:uid="{00000000-0005-0000-0000-000094090000}"/>
    <cellStyle name="Commentaire 2 5 5 2" xfId="6832" xr:uid="{75BD56B0-3A8C-44E9-B4DF-AF3A4451AF47}"/>
    <cellStyle name="Commentaire 2 5 6" xfId="4899" xr:uid="{00000000-0005-0000-0000-000095090000}"/>
    <cellStyle name="Commentaire 2 5 6 2" xfId="7910" xr:uid="{EEB90401-56EE-4C05-8E54-387FEC11FEB4}"/>
    <cellStyle name="Commentaire 2 5 7" xfId="5476" xr:uid="{00000000-0005-0000-0000-000096090000}"/>
    <cellStyle name="Commentaire 2 5 7 2" xfId="8382" xr:uid="{9A891280-60B8-4D4E-AA9C-5206E9D37F59}"/>
    <cellStyle name="Commentaire 2 5 8" xfId="5613" xr:uid="{00000000-0005-0000-0000-000097090000}"/>
    <cellStyle name="Commentaire 2 5 8 2" xfId="8502" xr:uid="{261E1155-D451-45B1-8E37-F793BB67BBE7}"/>
    <cellStyle name="Commentaire 2 5 9" xfId="5747" xr:uid="{00000000-0005-0000-0000-000098090000}"/>
    <cellStyle name="Commentaire 2 5 9 2" xfId="8607" xr:uid="{CA8FCD84-D89A-4120-8AE8-DA04562092CF}"/>
    <cellStyle name="Commentaire 2 6" xfId="1495" xr:uid="{00000000-0005-0000-0000-000099090000}"/>
    <cellStyle name="Commentaire 2 6 10" xfId="5749" xr:uid="{00000000-0005-0000-0000-00009A090000}"/>
    <cellStyle name="Commentaire 2 6 10 2" xfId="8609" xr:uid="{E7CA9E10-02CA-4E67-BF7C-460BE8E5DA80}"/>
    <cellStyle name="Commentaire 2 6 11" xfId="5682" xr:uid="{00000000-0005-0000-0000-00009B090000}"/>
    <cellStyle name="Commentaire 2 6 11 2" xfId="8550" xr:uid="{E7FD8578-7972-4F64-B73B-BD16628EF77D}"/>
    <cellStyle name="Commentaire 2 6 12" xfId="6464" xr:uid="{43747BA0-F037-41C0-A1DC-FF518A5E4A8E}"/>
    <cellStyle name="Commentaire 2 6 2" xfId="2889" xr:uid="{00000000-0005-0000-0000-00009C090000}"/>
    <cellStyle name="Commentaire 2 6 2 2" xfId="3665" xr:uid="{00000000-0005-0000-0000-00009D090000}"/>
    <cellStyle name="Commentaire 2 6 2 2 2" xfId="7147" xr:uid="{45987C28-8480-46AF-94D3-9A8E806C8C3A}"/>
    <cellStyle name="Commentaire 2 6 2 3" xfId="4543" xr:uid="{00000000-0005-0000-0000-00009E090000}"/>
    <cellStyle name="Commentaire 2 6 2 3 2" xfId="7719" xr:uid="{CAE7F544-E130-4ECC-8CA4-E5512E17F2DE}"/>
    <cellStyle name="Commentaire 2 6 2 4" xfId="6943" xr:uid="{66EE3511-E81C-4596-8085-7572A7930E2C}"/>
    <cellStyle name="Commentaire 2 6 3" xfId="2459" xr:uid="{00000000-0005-0000-0000-00009F090000}"/>
    <cellStyle name="Commentaire 2 6 3 2" xfId="6771" xr:uid="{8D68AE30-D15A-44AC-A8B3-4D95A93FB0A2}"/>
    <cellStyle name="Commentaire 2 6 4" xfId="2354" xr:uid="{00000000-0005-0000-0000-0000A0090000}"/>
    <cellStyle name="Commentaire 2 6 4 2" xfId="6710" xr:uid="{BB384942-B050-44FA-A3CA-FF815E0DDACF}"/>
    <cellStyle name="Commentaire 2 6 5" xfId="2034" xr:uid="{00000000-0005-0000-0000-0000A1090000}"/>
    <cellStyle name="Commentaire 2 6 5 2" xfId="6606" xr:uid="{7E83D327-99C8-4DA6-8E8C-401A4A17BEB1}"/>
    <cellStyle name="Commentaire 2 6 6" xfId="4542" xr:uid="{00000000-0005-0000-0000-0000A2090000}"/>
    <cellStyle name="Commentaire 2 6 6 2" xfId="7718" xr:uid="{44CB8432-462A-49AE-9F69-91D2E13F2FAE}"/>
    <cellStyle name="Commentaire 2 6 7" xfId="5139" xr:uid="{00000000-0005-0000-0000-0000A3090000}"/>
    <cellStyle name="Commentaire 2 6 7 2" xfId="8090" xr:uid="{CFB99FBA-1998-4DE6-88E9-F0A788FEC2CB}"/>
    <cellStyle name="Commentaire 2 6 8" xfId="5477" xr:uid="{00000000-0005-0000-0000-0000A4090000}"/>
    <cellStyle name="Commentaire 2 6 8 2" xfId="8383" xr:uid="{8E9C7B39-6608-4A51-BFF4-DE1D00AC9EE7}"/>
    <cellStyle name="Commentaire 2 6 9" xfId="5630" xr:uid="{00000000-0005-0000-0000-0000A5090000}"/>
    <cellStyle name="Commentaire 2 6 9 2" xfId="8511" xr:uid="{E8DD3DD0-D0B9-4E18-A6DB-95BB4C92040B}"/>
    <cellStyle name="Commentaire 2 7" xfId="1496" xr:uid="{00000000-0005-0000-0000-0000A6090000}"/>
    <cellStyle name="Commentaire 2 7 2" xfId="2460" xr:uid="{00000000-0005-0000-0000-0000A7090000}"/>
    <cellStyle name="Commentaire 2 7 2 2" xfId="6772" xr:uid="{5AE71E22-9224-46AB-94BD-A682AD7ED885}"/>
    <cellStyle name="Commentaire 2 7 3" xfId="2579" xr:uid="{00000000-0005-0000-0000-0000A8090000}"/>
    <cellStyle name="Commentaire 2 7 3 2" xfId="6828" xr:uid="{CB6E8BB9-E9A9-4BF8-A650-BC2BD5245F19}"/>
    <cellStyle name="Commentaire 2 7 4" xfId="4544" xr:uid="{00000000-0005-0000-0000-0000A9090000}"/>
    <cellStyle name="Commentaire 2 7 4 2" xfId="7720" xr:uid="{49C95A37-FF4B-40D1-849F-F45177758815}"/>
    <cellStyle name="Commentaire 2 7 5" xfId="5478" xr:uid="{00000000-0005-0000-0000-0000AA090000}"/>
    <cellStyle name="Commentaire 2 7 5 2" xfId="8384" xr:uid="{8577FC30-D074-4708-A4E0-4696F92B80B8}"/>
    <cellStyle name="Commentaire 2 7 6" xfId="6465" xr:uid="{99644413-23B3-490B-83F2-C05C4CE6653B}"/>
    <cellStyle name="Commentaire 2 8" xfId="1497" xr:uid="{00000000-0005-0000-0000-0000AB090000}"/>
    <cellStyle name="Commentaire 2 8 2" xfId="1498" xr:uid="{00000000-0005-0000-0000-0000AC090000}"/>
    <cellStyle name="Commentaire 2 8 2 2" xfId="2462" xr:uid="{00000000-0005-0000-0000-0000AD090000}"/>
    <cellStyle name="Commentaire 2 8 2 2 2" xfId="6774" xr:uid="{63D5E643-C009-4B78-BE59-BC5B9B12E2E6}"/>
    <cellStyle name="Commentaire 2 8 2 3" xfId="4546" xr:uid="{00000000-0005-0000-0000-0000AE090000}"/>
    <cellStyle name="Commentaire 2 8 2 3 2" xfId="7722" xr:uid="{923C61E1-AC74-4E87-8292-592B7271911F}"/>
    <cellStyle name="Commentaire 2 8 2 4" xfId="5480" xr:uid="{00000000-0005-0000-0000-0000AF090000}"/>
    <cellStyle name="Commentaire 2 8 2 4 2" xfId="8386" xr:uid="{197849A4-6F55-4B6C-A783-C34E949D0D8E}"/>
    <cellStyle name="Commentaire 2 8 2 5" xfId="6467" xr:uid="{1DC03EAA-DC96-45FF-B39E-E28D369AEEA5}"/>
    <cellStyle name="Commentaire 2 8 3" xfId="1499" xr:uid="{00000000-0005-0000-0000-0000B0090000}"/>
    <cellStyle name="Commentaire 2 8 3 2" xfId="2463" xr:uid="{00000000-0005-0000-0000-0000B1090000}"/>
    <cellStyle name="Commentaire 2 8 3 2 2" xfId="6775" xr:uid="{F6E929F9-1883-49F4-B359-3754D43A776C}"/>
    <cellStyle name="Commentaire 2 8 3 3" xfId="4547" xr:uid="{00000000-0005-0000-0000-0000B2090000}"/>
    <cellStyle name="Commentaire 2 8 3 3 2" xfId="7723" xr:uid="{6397BD83-E810-44CE-BC8A-4014332E33AF}"/>
    <cellStyle name="Commentaire 2 8 3 4" xfId="5481" xr:uid="{00000000-0005-0000-0000-0000B3090000}"/>
    <cellStyle name="Commentaire 2 8 3 4 2" xfId="8387" xr:uid="{34E690EA-A8D2-4637-A757-AAA8086F5018}"/>
    <cellStyle name="Commentaire 2 8 3 5" xfId="6468" xr:uid="{9EABC3E4-B0C7-413D-9346-3FADB67CABA0}"/>
    <cellStyle name="Commentaire 2 8 4" xfId="2461" xr:uid="{00000000-0005-0000-0000-0000B4090000}"/>
    <cellStyle name="Commentaire 2 8 4 2" xfId="6773" xr:uid="{D069A03A-C211-4599-B988-2227F01A45AF}"/>
    <cellStyle name="Commentaire 2 8 5" xfId="2598" xr:uid="{00000000-0005-0000-0000-0000B5090000}"/>
    <cellStyle name="Commentaire 2 8 5 2" xfId="6836" xr:uid="{4098E567-13E3-4919-A319-EF3CC40F8340}"/>
    <cellStyle name="Commentaire 2 8 6" xfId="4545" xr:uid="{00000000-0005-0000-0000-0000B6090000}"/>
    <cellStyle name="Commentaire 2 8 6 2" xfId="7721" xr:uid="{A7C13554-79B8-4A1F-8E8C-572BAB7795A8}"/>
    <cellStyle name="Commentaire 2 8 7" xfId="5479" xr:uid="{00000000-0005-0000-0000-0000B7090000}"/>
    <cellStyle name="Commentaire 2 8 7 2" xfId="8385" xr:uid="{F28DDF1D-5339-4E2E-A5EC-076D4AACC09B}"/>
    <cellStyle name="Commentaire 2 8 8" xfId="6466" xr:uid="{5A0D0668-7B37-4713-878E-9090A35601CE}"/>
    <cellStyle name="Commentaire 2 9" xfId="1500" xr:uid="{00000000-0005-0000-0000-0000B8090000}"/>
    <cellStyle name="Commentaire 2 9 2" xfId="2464" xr:uid="{00000000-0005-0000-0000-0000B9090000}"/>
    <cellStyle name="Commentaire 2 9 2 2" xfId="6776" xr:uid="{36176FF2-208A-490E-A338-5517F105F970}"/>
    <cellStyle name="Commentaire 2 9 3" xfId="4548" xr:uid="{00000000-0005-0000-0000-0000BA090000}"/>
    <cellStyle name="Commentaire 2 9 3 2" xfId="7724" xr:uid="{AFBF7328-6CB7-47B4-84C5-BBFA9E8A027B}"/>
    <cellStyle name="Commentaire 2 9 4" xfId="5482" xr:uid="{00000000-0005-0000-0000-0000BB090000}"/>
    <cellStyle name="Commentaire 2 9 4 2" xfId="8388" xr:uid="{FB8548D4-FD82-4237-80D1-CF229CB6BDF5}"/>
    <cellStyle name="Commentaire 2 9 5" xfId="6469" xr:uid="{6C644930-6D90-4BB2-AAC4-193F7A377A88}"/>
    <cellStyle name="Commentaire 3" xfId="299" xr:uid="{00000000-0005-0000-0000-0000BC090000}"/>
    <cellStyle name="Commentaire 3 10" xfId="4784" xr:uid="{00000000-0005-0000-0000-0000BD090000}"/>
    <cellStyle name="Commentaire 3 10 2" xfId="7853" xr:uid="{FE6FCDE9-0983-4844-B480-73525427E3A6}"/>
    <cellStyle name="Commentaire 3 11" xfId="5420" xr:uid="{00000000-0005-0000-0000-0000BE090000}"/>
    <cellStyle name="Commentaire 3 11 2" xfId="8337" xr:uid="{2944F1F8-6C36-439B-B909-083CFD558E87}"/>
    <cellStyle name="Commentaire 3 12" xfId="612" xr:uid="{00000000-0005-0000-0000-0000BF090000}"/>
    <cellStyle name="Commentaire 3 12 2" xfId="6313" xr:uid="{E98C6BE1-A54F-4329-B87A-5F59A07C8D9B}"/>
    <cellStyle name="Commentaire 3 13" xfId="5750" xr:uid="{00000000-0005-0000-0000-0000C0090000}"/>
    <cellStyle name="Commentaire 3 13 2" xfId="8610" xr:uid="{ACD3497F-C2F9-4142-A760-E82586C4F610}"/>
    <cellStyle name="Commentaire 3 14" xfId="5681" xr:uid="{00000000-0005-0000-0000-0000C1090000}"/>
    <cellStyle name="Commentaire 3 14 2" xfId="8549" xr:uid="{81E668FA-7055-4598-8E17-651994DF885B}"/>
    <cellStyle name="Commentaire 3 15" xfId="6190" xr:uid="{E945A1FD-BD72-4B35-B39F-CA675E5CEF06}"/>
    <cellStyle name="Commentaire 3 2" xfId="1501" xr:uid="{00000000-0005-0000-0000-0000C2090000}"/>
    <cellStyle name="Commentaire 3 2 10" xfId="5751" xr:uid="{00000000-0005-0000-0000-0000C3090000}"/>
    <cellStyle name="Commentaire 3 2 10 2" xfId="8611" xr:uid="{6771835C-DAFF-4F53-B277-AFB1F9F74933}"/>
    <cellStyle name="Commentaire 3 2 11" xfId="5680" xr:uid="{00000000-0005-0000-0000-0000C4090000}"/>
    <cellStyle name="Commentaire 3 2 11 2" xfId="8548" xr:uid="{A4D01661-9F3B-4AD0-8CBB-B99B541A5FA4}"/>
    <cellStyle name="Commentaire 3 2 12" xfId="6470" xr:uid="{DBBA49D9-BE8F-4E60-8A94-CA7A69D553F5}"/>
    <cellStyle name="Commentaire 3 2 2" xfId="2072" xr:uid="{00000000-0005-0000-0000-0000C5090000}"/>
    <cellStyle name="Commentaire 3 2 2 10" xfId="6628" xr:uid="{9C56014E-77A0-4401-9886-DCAE8B82E46E}"/>
    <cellStyle name="Commentaire 3 2 2 2" xfId="3314" xr:uid="{00000000-0005-0000-0000-0000C6090000}"/>
    <cellStyle name="Commentaire 3 2 2 2 2" xfId="3691" xr:uid="{00000000-0005-0000-0000-0000C7090000}"/>
    <cellStyle name="Commentaire 3 2 2 2 2 2" xfId="7173" xr:uid="{01494F15-A1A2-475C-847C-70A39BFF2095}"/>
    <cellStyle name="Commentaire 3 2 2 2 3" xfId="3771" xr:uid="{00000000-0005-0000-0000-0000C8090000}"/>
    <cellStyle name="Commentaire 3 2 2 2 3 2" xfId="7231" xr:uid="{6AB36094-7B81-4345-9867-BC8382E6D6CA}"/>
    <cellStyle name="Commentaire 3 2 2 2 4" xfId="4551" xr:uid="{00000000-0005-0000-0000-0000C9090000}"/>
    <cellStyle name="Commentaire 3 2 2 2 4 2" xfId="7727" xr:uid="{7FDB418D-D11B-4435-8AA4-B3017E9F3AFF}"/>
    <cellStyle name="Commentaire 3 2 2 2 5" xfId="5156" xr:uid="{00000000-0005-0000-0000-0000CA090000}"/>
    <cellStyle name="Commentaire 3 2 2 2 5 2" xfId="8106" xr:uid="{D15F5294-3E8B-43F9-91DB-627DF22123F0}"/>
    <cellStyle name="Commentaire 3 2 2 2 6" xfId="7005" xr:uid="{879E0ABC-6F00-4661-BCB3-08DD8CF11C52}"/>
    <cellStyle name="Commentaire 3 2 2 3" xfId="2467" xr:uid="{00000000-0005-0000-0000-0000CB090000}"/>
    <cellStyle name="Commentaire 3 2 2 3 2" xfId="4552" xr:uid="{00000000-0005-0000-0000-0000CC090000}"/>
    <cellStyle name="Commentaire 3 2 2 3 2 2" xfId="7728" xr:uid="{2052793D-1ECC-46C1-9C33-46E4CD49CC28}"/>
    <cellStyle name="Commentaire 3 2 2 3 3" xfId="6779" xr:uid="{2C8FA78E-3967-488C-8CBE-78912D4A3F8D}"/>
    <cellStyle name="Commentaire 3 2 2 4" xfId="2045" xr:uid="{00000000-0005-0000-0000-0000CD090000}"/>
    <cellStyle name="Commentaire 3 2 2 4 2" xfId="6615" xr:uid="{A5C65738-577D-4248-9A59-2100B7E67896}"/>
    <cellStyle name="Commentaire 3 2 2 5" xfId="2396" xr:uid="{00000000-0005-0000-0000-0000CE090000}"/>
    <cellStyle name="Commentaire 3 2 2 5 2" xfId="6729" xr:uid="{D0A22F6C-2A8B-4A26-8201-2017A53C1794}"/>
    <cellStyle name="Commentaire 3 2 2 6" xfId="4550" xr:uid="{00000000-0005-0000-0000-0000CF090000}"/>
    <cellStyle name="Commentaire 3 2 2 6 2" xfId="7726" xr:uid="{A4DFD176-BC12-4F62-9062-3E3632F36BDB}"/>
    <cellStyle name="Commentaire 3 2 2 7" xfId="4734" xr:uid="{00000000-0005-0000-0000-0000D0090000}"/>
    <cellStyle name="Commentaire 3 2 2 7 2" xfId="7818" xr:uid="{7EFBAA1B-E8E1-48B8-A92B-74D092403C89}"/>
    <cellStyle name="Commentaire 3 2 2 8" xfId="5484" xr:uid="{00000000-0005-0000-0000-0000D1090000}"/>
    <cellStyle name="Commentaire 3 2 2 8 2" xfId="8390" xr:uid="{264C6628-12C4-4674-A670-9DA747C93412}"/>
    <cellStyle name="Commentaire 3 2 2 9" xfId="5611" xr:uid="{00000000-0005-0000-0000-0000D2090000}"/>
    <cellStyle name="Commentaire 3 2 2 9 2" xfId="8500" xr:uid="{9C79DFBA-F238-4B6F-89FA-7096CD9F38E5}"/>
    <cellStyle name="Commentaire 3 2 3" xfId="3313" xr:uid="{00000000-0005-0000-0000-0000D3090000}"/>
    <cellStyle name="Commentaire 3 2 3 2" xfId="2044" xr:uid="{00000000-0005-0000-0000-0000D4090000}"/>
    <cellStyle name="Commentaire 3 2 3 2 2" xfId="4554" xr:uid="{00000000-0005-0000-0000-0000D5090000}"/>
    <cellStyle name="Commentaire 3 2 3 2 2 2" xfId="7730" xr:uid="{6DC4975B-7A34-42EC-9BD8-818B612B806E}"/>
    <cellStyle name="Commentaire 3 2 3 2 3" xfId="6614" xr:uid="{1ADA8C33-9B80-470F-9A32-4F5A7E7495D5}"/>
    <cellStyle name="Commentaire 3 2 3 3" xfId="4553" xr:uid="{00000000-0005-0000-0000-0000D6090000}"/>
    <cellStyle name="Commentaire 3 2 3 3 2" xfId="7729" xr:uid="{1523E331-139A-4689-9F82-F3ADF8D6715E}"/>
    <cellStyle name="Commentaire 3 2 3 4" xfId="5155" xr:uid="{00000000-0005-0000-0000-0000D7090000}"/>
    <cellStyle name="Commentaire 3 2 3 4 2" xfId="8105" xr:uid="{6BC804F8-FF1D-405E-B711-A6EDFE83668D}"/>
    <cellStyle name="Commentaire 3 2 3 5" xfId="7004" xr:uid="{5624F1A7-0BAE-4AB8-81FB-DE51D90E4F20}"/>
    <cellStyle name="Commentaire 3 2 4" xfId="2466" xr:uid="{00000000-0005-0000-0000-0000D8090000}"/>
    <cellStyle name="Commentaire 3 2 4 2" xfId="3690" xr:uid="{00000000-0005-0000-0000-0000D9090000}"/>
    <cellStyle name="Commentaire 3 2 4 2 2" xfId="7172" xr:uid="{391FEC7C-6912-4862-9B7D-B3BEBBEB324F}"/>
    <cellStyle name="Commentaire 3 2 4 3" xfId="4555" xr:uid="{00000000-0005-0000-0000-0000DA090000}"/>
    <cellStyle name="Commentaire 3 2 4 3 2" xfId="7731" xr:uid="{2B3EF5F2-86DF-4D6D-BF26-42D5D8360D5B}"/>
    <cellStyle name="Commentaire 3 2 4 4" xfId="6778" xr:uid="{339466AD-73EF-48F5-9ED6-FA7F7B6EF5FE}"/>
    <cellStyle name="Commentaire 3 2 5" xfId="2679" xr:uid="{00000000-0005-0000-0000-0000DB090000}"/>
    <cellStyle name="Commentaire 3 2 5 2" xfId="4549" xr:uid="{00000000-0005-0000-0000-0000DC090000}"/>
    <cellStyle name="Commentaire 3 2 5 2 2" xfId="7725" xr:uid="{65F53895-2562-4588-BDE8-C03992146289}"/>
    <cellStyle name="Commentaire 3 2 5 3" xfId="6881" xr:uid="{B41A8702-44DC-4811-8EAE-A0F8BFAD269E}"/>
    <cellStyle name="Commentaire 3 2 6" xfId="3948" xr:uid="{00000000-0005-0000-0000-0000DD090000}"/>
    <cellStyle name="Commentaire 3 2 6 2" xfId="7258" xr:uid="{F668048A-9C1E-407C-AD9D-E4022A68ED43}"/>
    <cellStyle name="Commentaire 3 2 7" xfId="4736" xr:uid="{00000000-0005-0000-0000-0000DE090000}"/>
    <cellStyle name="Commentaire 3 2 7 2" xfId="7820" xr:uid="{3BDCB150-A46E-41AD-BA6E-0E289589BCA7}"/>
    <cellStyle name="Commentaire 3 2 8" xfId="5483" xr:uid="{00000000-0005-0000-0000-0000DF090000}"/>
    <cellStyle name="Commentaire 3 2 8 2" xfId="8389" xr:uid="{E7520CF3-4BF0-4F18-8C73-B3393637671C}"/>
    <cellStyle name="Commentaire 3 2 9" xfId="5612" xr:uid="{00000000-0005-0000-0000-0000E0090000}"/>
    <cellStyle name="Commentaire 3 2 9 2" xfId="8501" xr:uid="{915028E4-1759-4D6C-AF54-B42D506CE19E}"/>
    <cellStyle name="Commentaire 3 3" xfId="1502" xr:uid="{00000000-0005-0000-0000-0000E1090000}"/>
    <cellStyle name="Commentaire 3 3 10" xfId="5752" xr:uid="{00000000-0005-0000-0000-0000E2090000}"/>
    <cellStyle name="Commentaire 3 3 10 2" xfId="8612" xr:uid="{0A6EC156-C70F-497B-B9DE-B828D0C0810F}"/>
    <cellStyle name="Commentaire 3 3 11" xfId="5679" xr:uid="{00000000-0005-0000-0000-0000E3090000}"/>
    <cellStyle name="Commentaire 3 3 11 2" xfId="8547" xr:uid="{EE697938-A032-4EE4-B21C-BF2246954C9F}"/>
    <cellStyle name="Commentaire 3 3 12" xfId="6471" xr:uid="{B6D62D34-F179-4235-899E-7F4D0FAE6847}"/>
    <cellStyle name="Commentaire 3 3 2" xfId="3315" xr:uid="{00000000-0005-0000-0000-0000E4090000}"/>
    <cellStyle name="Commentaire 3 3 2 2" xfId="3692" xr:uid="{00000000-0005-0000-0000-0000E5090000}"/>
    <cellStyle name="Commentaire 3 3 2 2 2" xfId="7174" xr:uid="{A37DCEC6-9E2D-4F56-96C4-AEAE8D65617C}"/>
    <cellStyle name="Commentaire 3 3 2 3" xfId="3772" xr:uid="{00000000-0005-0000-0000-0000E6090000}"/>
    <cellStyle name="Commentaire 3 3 2 3 2" xfId="7232" xr:uid="{8560A426-DE69-47C0-9F2C-539FB938A785}"/>
    <cellStyle name="Commentaire 3 3 2 4" xfId="4557" xr:uid="{00000000-0005-0000-0000-0000E7090000}"/>
    <cellStyle name="Commentaire 3 3 2 4 2" xfId="7733" xr:uid="{795A0748-E62E-4BE4-A853-6BFB1129B6C3}"/>
    <cellStyle name="Commentaire 3 3 2 5" xfId="5157" xr:uid="{00000000-0005-0000-0000-0000E8090000}"/>
    <cellStyle name="Commentaire 3 3 2 5 2" xfId="8107" xr:uid="{7C5E4B39-C138-4955-AC27-78E84497CF8A}"/>
    <cellStyle name="Commentaire 3 3 2 6" xfId="7006" xr:uid="{4BB1DCD2-7FEF-4D30-9E8B-DB18B904E460}"/>
    <cellStyle name="Commentaire 3 3 3" xfId="2468" xr:uid="{00000000-0005-0000-0000-0000E9090000}"/>
    <cellStyle name="Commentaire 3 3 3 2" xfId="4558" xr:uid="{00000000-0005-0000-0000-0000EA090000}"/>
    <cellStyle name="Commentaire 3 3 3 2 2" xfId="7734" xr:uid="{27711A18-3ACB-4905-8B28-76B6827D42A0}"/>
    <cellStyle name="Commentaire 3 3 3 3" xfId="6780" xr:uid="{70EF5E96-6499-4960-A709-97AC2F4AB039}"/>
    <cellStyle name="Commentaire 3 3 4" xfId="2046" xr:uid="{00000000-0005-0000-0000-0000EB090000}"/>
    <cellStyle name="Commentaire 3 3 4 2" xfId="4556" xr:uid="{00000000-0005-0000-0000-0000EC090000}"/>
    <cellStyle name="Commentaire 3 3 4 2 2" xfId="7732" xr:uid="{D1264081-0120-4BD1-AF7A-642F08AEF44A}"/>
    <cellStyle name="Commentaire 3 3 4 3" xfId="6616" xr:uid="{84EB55AC-19E9-49B9-B6B3-FAD1029B8BCA}"/>
    <cellStyle name="Commentaire 3 3 5" xfId="2394" xr:uid="{00000000-0005-0000-0000-0000ED090000}"/>
    <cellStyle name="Commentaire 3 3 5 2" xfId="6728" xr:uid="{8C8C6344-4CAA-413B-85D8-B846CA3CDAD5}"/>
    <cellStyle name="Commentaire 3 3 6" xfId="4095" xr:uid="{00000000-0005-0000-0000-0000EE090000}"/>
    <cellStyle name="Commentaire 3 3 6 2" xfId="7384" xr:uid="{A9FE2EE4-B12B-43C5-AF9C-87648CCE606B}"/>
    <cellStyle name="Commentaire 3 3 7" xfId="4121" xr:uid="{00000000-0005-0000-0000-0000EF090000}"/>
    <cellStyle name="Commentaire 3 3 7 2" xfId="7394" xr:uid="{2EAF12B0-D3CC-41D9-A78B-0BFEA936008E}"/>
    <cellStyle name="Commentaire 3 3 8" xfId="5485" xr:uid="{00000000-0005-0000-0000-0000F0090000}"/>
    <cellStyle name="Commentaire 3 3 8 2" xfId="8391" xr:uid="{3A0177A2-FCCC-4304-AB32-6BACADBFE100}"/>
    <cellStyle name="Commentaire 3 3 9" xfId="5610" xr:uid="{00000000-0005-0000-0000-0000F1090000}"/>
    <cellStyle name="Commentaire 3 3 9 2" xfId="8499" xr:uid="{21742C25-9A74-4A10-9B8C-E04C7513129D}"/>
    <cellStyle name="Commentaire 3 4" xfId="1503" xr:uid="{00000000-0005-0000-0000-0000F2090000}"/>
    <cellStyle name="Commentaire 3 4 2" xfId="2469" xr:uid="{00000000-0005-0000-0000-0000F3090000}"/>
    <cellStyle name="Commentaire 3 4 2 2" xfId="4560" xr:uid="{00000000-0005-0000-0000-0000F4090000}"/>
    <cellStyle name="Commentaire 3 4 2 2 2" xfId="7736" xr:uid="{06D6D4E3-8498-493B-A739-85DA5CA85196}"/>
    <cellStyle name="Commentaire 3 4 2 3" xfId="6781" xr:uid="{68A72096-6813-492C-81C3-447D9EF1F2CD}"/>
    <cellStyle name="Commentaire 3 4 3" xfId="2348" xr:uid="{00000000-0005-0000-0000-0000F5090000}"/>
    <cellStyle name="Commentaire 3 4 3 2" xfId="6706" xr:uid="{E1C78933-E040-4AC4-886C-F298A3414DC8}"/>
    <cellStyle name="Commentaire 3 4 4" xfId="4559" xr:uid="{00000000-0005-0000-0000-0000F6090000}"/>
    <cellStyle name="Commentaire 3 4 4 2" xfId="7735" xr:uid="{3EA6889A-6414-4927-BC88-E3F37835FF45}"/>
    <cellStyle name="Commentaire 3 4 5" xfId="5143" xr:uid="{00000000-0005-0000-0000-0000F7090000}"/>
    <cellStyle name="Commentaire 3 4 5 2" xfId="8094" xr:uid="{2983CB4B-0907-46C2-AAF6-D74385F52051}"/>
    <cellStyle name="Commentaire 3 4 6" xfId="5486" xr:uid="{00000000-0005-0000-0000-0000F8090000}"/>
    <cellStyle name="Commentaire 3 4 6 2" xfId="8392" xr:uid="{E671BB82-99E5-43D0-96C5-61F01C00D363}"/>
    <cellStyle name="Commentaire 3 4 7" xfId="6472" xr:uid="{716601DD-2AE0-445A-95B5-5D17F89F7A4F}"/>
    <cellStyle name="Commentaire 3 5" xfId="1504" xr:uid="{00000000-0005-0000-0000-0000F9090000}"/>
    <cellStyle name="Commentaire 3 5 2" xfId="2470" xr:uid="{00000000-0005-0000-0000-0000FA090000}"/>
    <cellStyle name="Commentaire 3 5 2 2" xfId="4562" xr:uid="{00000000-0005-0000-0000-0000FB090000}"/>
    <cellStyle name="Commentaire 3 5 2 2 2" xfId="7738" xr:uid="{D24A30C1-117A-4F0F-B06A-9A7165B87FFD}"/>
    <cellStyle name="Commentaire 3 5 2 3" xfId="6782" xr:uid="{2947256D-B01D-48DA-8307-80FCC51D47D5}"/>
    <cellStyle name="Commentaire 3 5 3" xfId="3669" xr:uid="{00000000-0005-0000-0000-0000FC090000}"/>
    <cellStyle name="Commentaire 3 5 3 2" xfId="4563" xr:uid="{00000000-0005-0000-0000-0000FD090000}"/>
    <cellStyle name="Commentaire 3 5 3 2 2" xfId="7739" xr:uid="{7FEEB0AB-1267-49A2-86AA-A8170A5383C4}"/>
    <cellStyle name="Commentaire 3 5 3 3" xfId="7151" xr:uid="{24B7598C-3CA3-41E0-AEB8-B1338F4EA430}"/>
    <cellStyle name="Commentaire 3 5 4" xfId="3894" xr:uid="{00000000-0005-0000-0000-0000FE090000}"/>
    <cellStyle name="Commentaire 3 5 4 2" xfId="7251" xr:uid="{7FE15612-2F76-484E-9192-6AA5A1D7CC87}"/>
    <cellStyle name="Commentaire 3 5 5" xfId="4561" xr:uid="{00000000-0005-0000-0000-0000FF090000}"/>
    <cellStyle name="Commentaire 3 5 5 2" xfId="7737" xr:uid="{096EDF48-E0F0-425C-BDD6-5FAA048649E8}"/>
    <cellStyle name="Commentaire 3 5 6" xfId="5207" xr:uid="{00000000-0005-0000-0000-0000000A0000}"/>
    <cellStyle name="Commentaire 3 5 6 2" xfId="8152" xr:uid="{22CE56AF-4486-4CBB-BE94-C31F7164FC61}"/>
    <cellStyle name="Commentaire 3 5 7" xfId="5487" xr:uid="{00000000-0005-0000-0000-0000010A0000}"/>
    <cellStyle name="Commentaire 3 5 7 2" xfId="8393" xr:uid="{F0948323-2B89-4D78-9540-71A6ABAB911F}"/>
    <cellStyle name="Commentaire 3 5 8" xfId="6473" xr:uid="{8B2D7FC2-C8FD-4529-AD72-19D8601A35F0}"/>
    <cellStyle name="Commentaire 3 6" xfId="1505" xr:uid="{00000000-0005-0000-0000-0000020A0000}"/>
    <cellStyle name="Commentaire 3 6 2" xfId="4564" xr:uid="{00000000-0005-0000-0000-0000030A0000}"/>
    <cellStyle name="Commentaire 3 6 2 2" xfId="7740" xr:uid="{3F6AC759-4813-4D7F-BB16-C2D240FC367B}"/>
    <cellStyle name="Commentaire 3 6 3" xfId="6474" xr:uid="{452B2050-0EA7-411D-B693-C2FAB235A03C}"/>
    <cellStyle name="Commentaire 3 7" xfId="2465" xr:uid="{00000000-0005-0000-0000-0000040A0000}"/>
    <cellStyle name="Commentaire 3 7 2" xfId="6777" xr:uid="{C59C2088-C92F-47CF-9349-F6E547F0EBD4}"/>
    <cellStyle name="Commentaire 3 8" xfId="2680" xr:uid="{00000000-0005-0000-0000-0000050A0000}"/>
    <cellStyle name="Commentaire 3 8 2" xfId="6882" xr:uid="{40EE6BDC-ABA3-4EDB-8CFB-11233C0051BF}"/>
    <cellStyle name="Commentaire 3 9" xfId="2123" xr:uid="{00000000-0005-0000-0000-0000060A0000}"/>
    <cellStyle name="Commentaire 3 9 2" xfId="6637" xr:uid="{FE4D060D-198F-4F3B-AECB-BBE11E17F7F6}"/>
    <cellStyle name="Commentaire 4" xfId="300" xr:uid="{00000000-0005-0000-0000-0000070A0000}"/>
    <cellStyle name="Commentaire 4 10" xfId="5421" xr:uid="{00000000-0005-0000-0000-0000080A0000}"/>
    <cellStyle name="Commentaire 4 10 2" xfId="8338" xr:uid="{219292EE-0B81-412B-A6C0-74A34CAB84B8}"/>
    <cellStyle name="Commentaire 4 11" xfId="653" xr:uid="{00000000-0005-0000-0000-0000090A0000}"/>
    <cellStyle name="Commentaire 4 11 2" xfId="6330" xr:uid="{67DA7502-625C-4E8D-933F-62FAE36A2BA2}"/>
    <cellStyle name="Commentaire 4 12" xfId="5753" xr:uid="{00000000-0005-0000-0000-00000A0A0000}"/>
    <cellStyle name="Commentaire 4 12 2" xfId="8613" xr:uid="{301D3CA8-E766-4D84-B9EC-2B0BD042A525}"/>
    <cellStyle name="Commentaire 4 13" xfId="5678" xr:uid="{00000000-0005-0000-0000-00000B0A0000}"/>
    <cellStyle name="Commentaire 4 13 2" xfId="8546" xr:uid="{8ACEC9A9-68B1-4D5F-B5A0-07500E4C9A04}"/>
    <cellStyle name="Commentaire 4 14" xfId="6191" xr:uid="{3E7BDEAB-FE8F-4659-9AC0-EDE1485CB0EB}"/>
    <cellStyle name="Commentaire 4 2" xfId="1506" xr:uid="{00000000-0005-0000-0000-00000C0A0000}"/>
    <cellStyle name="Commentaire 4 2 10" xfId="5754" xr:uid="{00000000-0005-0000-0000-00000D0A0000}"/>
    <cellStyle name="Commentaire 4 2 10 2" xfId="8614" xr:uid="{DBC56745-36F0-4F10-98C3-DF4D5396092D}"/>
    <cellStyle name="Commentaire 4 2 11" xfId="5677" xr:uid="{00000000-0005-0000-0000-00000E0A0000}"/>
    <cellStyle name="Commentaire 4 2 11 2" xfId="8545" xr:uid="{C61B51D8-5283-49BF-87E2-7376D54E0A41}"/>
    <cellStyle name="Commentaire 4 2 12" xfId="6475" xr:uid="{F5744F6F-1124-4EF3-881E-60DFD5EBD9B1}"/>
    <cellStyle name="Commentaire 4 2 2" xfId="1507" xr:uid="{00000000-0005-0000-0000-00000F0A0000}"/>
    <cellStyle name="Commentaire 4 2 2 2" xfId="2473" xr:uid="{00000000-0005-0000-0000-0000100A0000}"/>
    <cellStyle name="Commentaire 4 2 2 2 2" xfId="4567" xr:uid="{00000000-0005-0000-0000-0000110A0000}"/>
    <cellStyle name="Commentaire 4 2 2 2 2 2" xfId="7743" xr:uid="{01B4C297-1621-4727-9A6C-D97D65ED7D1E}"/>
    <cellStyle name="Commentaire 4 2 2 2 3" xfId="6785" xr:uid="{209B62C9-B2D2-492A-9917-B66D3CE80E9D}"/>
    <cellStyle name="Commentaire 4 2 2 3" xfId="2047" xr:uid="{00000000-0005-0000-0000-0000120A0000}"/>
    <cellStyle name="Commentaire 4 2 2 3 2" xfId="6617" xr:uid="{64737BAF-6541-4278-926B-F6C1F14C14D3}"/>
    <cellStyle name="Commentaire 4 2 2 4" xfId="4566" xr:uid="{00000000-0005-0000-0000-0000130A0000}"/>
    <cellStyle name="Commentaire 4 2 2 4 2" xfId="7742" xr:uid="{D5357FFF-D258-4E8F-8118-6019CEFF56C9}"/>
    <cellStyle name="Commentaire 4 2 2 5" xfId="5158" xr:uid="{00000000-0005-0000-0000-0000140A0000}"/>
    <cellStyle name="Commentaire 4 2 2 5 2" xfId="8108" xr:uid="{C34E7425-5031-4AE9-9D21-C917C6A51226}"/>
    <cellStyle name="Commentaire 4 2 2 6" xfId="5489" xr:uid="{00000000-0005-0000-0000-0000150A0000}"/>
    <cellStyle name="Commentaire 4 2 2 6 2" xfId="8395" xr:uid="{BE71AB12-AA83-4AA8-8FFF-0E4B6DC57246}"/>
    <cellStyle name="Commentaire 4 2 2 7" xfId="6476" xr:uid="{6A863343-2992-43B0-A400-C0A1C8D02915}"/>
    <cellStyle name="Commentaire 4 2 3" xfId="2073" xr:uid="{00000000-0005-0000-0000-0000160A0000}"/>
    <cellStyle name="Commentaire 4 2 3 2" xfId="2474" xr:uid="{00000000-0005-0000-0000-0000170A0000}"/>
    <cellStyle name="Commentaire 4 2 3 2 2" xfId="6786" xr:uid="{99745A1E-97A6-47FB-A76B-A2AA731930DF}"/>
    <cellStyle name="Commentaire 4 2 3 3" xfId="3693" xr:uid="{00000000-0005-0000-0000-0000180A0000}"/>
    <cellStyle name="Commentaire 4 2 3 3 2" xfId="7175" xr:uid="{EF71E20E-BFAB-4719-82D1-298B36A02880}"/>
    <cellStyle name="Commentaire 4 2 3 4" xfId="4568" xr:uid="{00000000-0005-0000-0000-0000190A0000}"/>
    <cellStyle name="Commentaire 4 2 3 4 2" xfId="7744" xr:uid="{688C66D8-D4D3-4D93-9C48-E5BAE23E7A4D}"/>
    <cellStyle name="Commentaire 4 2 3 5" xfId="5490" xr:uid="{00000000-0005-0000-0000-00001A0A0000}"/>
    <cellStyle name="Commentaire 4 2 3 5 2" xfId="8396" xr:uid="{CC1B1EEF-8682-4D2F-B210-3B43A40B6871}"/>
    <cellStyle name="Commentaire 4 2 3 6" xfId="6629" xr:uid="{83264356-AE45-4463-ACC8-56A28700F2B6}"/>
    <cellStyle name="Commentaire 4 2 4" xfId="2472" xr:uid="{00000000-0005-0000-0000-00001B0A0000}"/>
    <cellStyle name="Commentaire 4 2 4 2" xfId="4569" xr:uid="{00000000-0005-0000-0000-00001C0A0000}"/>
    <cellStyle name="Commentaire 4 2 4 2 2" xfId="7745" xr:uid="{A1EC62A6-9EB5-4F13-8322-E85B3911C37A}"/>
    <cellStyle name="Commentaire 4 2 4 3" xfId="6784" xr:uid="{71FDC8A4-9406-412C-AA41-DEDBFA7219D8}"/>
    <cellStyle name="Commentaire 4 2 5" xfId="2677" xr:uid="{00000000-0005-0000-0000-00001D0A0000}"/>
    <cellStyle name="Commentaire 4 2 5 2" xfId="6879" xr:uid="{24D33C84-1F8D-467A-953A-0DD6ACDA1E38}"/>
    <cellStyle name="Commentaire 4 2 6" xfId="2122" xr:uid="{00000000-0005-0000-0000-00001E0A0000}"/>
    <cellStyle name="Commentaire 4 2 6 2" xfId="6636" xr:uid="{9927A7FB-56B5-4EB2-AD6B-2ADC5B912C61}"/>
    <cellStyle name="Commentaire 4 2 7" xfId="4565" xr:uid="{00000000-0005-0000-0000-00001F0A0000}"/>
    <cellStyle name="Commentaire 4 2 7 2" xfId="7741" xr:uid="{905D0A8A-E3D2-4A7E-BA09-DD85B8D0BD18}"/>
    <cellStyle name="Commentaire 4 2 8" xfId="4738" xr:uid="{00000000-0005-0000-0000-0000200A0000}"/>
    <cellStyle name="Commentaire 4 2 8 2" xfId="7822" xr:uid="{7113C02F-0E39-4157-9436-25282EBB538D}"/>
    <cellStyle name="Commentaire 4 2 9" xfId="5488" xr:uid="{00000000-0005-0000-0000-0000210A0000}"/>
    <cellStyle name="Commentaire 4 2 9 2" xfId="8394" xr:uid="{5E743A7C-0A9D-4ADF-B6FC-C6A789B5614D}"/>
    <cellStyle name="Commentaire 4 3" xfId="1508" xr:uid="{00000000-0005-0000-0000-0000220A0000}"/>
    <cellStyle name="Commentaire 4 3 2" xfId="2475" xr:uid="{00000000-0005-0000-0000-0000230A0000}"/>
    <cellStyle name="Commentaire 4 3 2 2" xfId="4571" xr:uid="{00000000-0005-0000-0000-0000240A0000}"/>
    <cellStyle name="Commentaire 4 3 2 2 2" xfId="7747" xr:uid="{2BC112DB-D7A6-4547-9CA0-CDC559915627}"/>
    <cellStyle name="Commentaire 4 3 2 3" xfId="6787" xr:uid="{241E9CD2-6755-4810-B4ED-5AC99673BAD9}"/>
    <cellStyle name="Commentaire 4 3 3" xfId="2347" xr:uid="{00000000-0005-0000-0000-0000250A0000}"/>
    <cellStyle name="Commentaire 4 3 3 2" xfId="6705" xr:uid="{6D959434-FA51-4055-A195-C4FA72B91594}"/>
    <cellStyle name="Commentaire 4 3 4" xfId="4570" xr:uid="{00000000-0005-0000-0000-0000260A0000}"/>
    <cellStyle name="Commentaire 4 3 4 2" xfId="7746" xr:uid="{C1DC334B-137F-4F97-A04A-D001C209CCA1}"/>
    <cellStyle name="Commentaire 4 3 5" xfId="5144" xr:uid="{00000000-0005-0000-0000-0000270A0000}"/>
    <cellStyle name="Commentaire 4 3 5 2" xfId="8095" xr:uid="{F1493644-4765-4398-8FA0-F6D0724A616B}"/>
    <cellStyle name="Commentaire 4 3 6" xfId="5491" xr:uid="{00000000-0005-0000-0000-0000280A0000}"/>
    <cellStyle name="Commentaire 4 3 6 2" xfId="8397" xr:uid="{DB497BD8-0E05-460B-B2F6-FB2BDD8325DE}"/>
    <cellStyle name="Commentaire 4 3 7" xfId="5755" xr:uid="{00000000-0005-0000-0000-0000290A0000}"/>
    <cellStyle name="Commentaire 4 3 7 2" xfId="8615" xr:uid="{CF9A03DD-D9EF-4868-A7E0-3D544DC4F4D7}"/>
    <cellStyle name="Commentaire 4 3 8" xfId="5676" xr:uid="{00000000-0005-0000-0000-00002A0A0000}"/>
    <cellStyle name="Commentaire 4 3 8 2" xfId="8544" xr:uid="{EAD04BBD-EB1A-4540-98D5-C990B06DF731}"/>
    <cellStyle name="Commentaire 4 3 9" xfId="6477" xr:uid="{499C5C25-41D2-41C6-B355-0F4B20B1B7E2}"/>
    <cellStyle name="Commentaire 4 4" xfId="1509" xr:uid="{00000000-0005-0000-0000-00002B0A0000}"/>
    <cellStyle name="Commentaire 4 4 2" xfId="2476" xr:uid="{00000000-0005-0000-0000-00002C0A0000}"/>
    <cellStyle name="Commentaire 4 4 2 2" xfId="4573" xr:uid="{00000000-0005-0000-0000-00002D0A0000}"/>
    <cellStyle name="Commentaire 4 4 2 2 2" xfId="7749" xr:uid="{C3289F28-654B-417D-891E-142DF8B336BA}"/>
    <cellStyle name="Commentaire 4 4 2 3" xfId="6788" xr:uid="{28727FB7-AAC2-48BB-829D-F0ADE6EEC5AE}"/>
    <cellStyle name="Commentaire 4 4 3" xfId="3670" xr:uid="{00000000-0005-0000-0000-00002E0A0000}"/>
    <cellStyle name="Commentaire 4 4 3 2" xfId="7152" xr:uid="{2E5FAE03-CF6C-474F-BBEF-804309E2B9A4}"/>
    <cellStyle name="Commentaire 4 4 4" xfId="4572" xr:uid="{00000000-0005-0000-0000-00002F0A0000}"/>
    <cellStyle name="Commentaire 4 4 4 2" xfId="7748" xr:uid="{A3A31AAB-CC0B-439D-BDE2-AD0FA3DC7AD9}"/>
    <cellStyle name="Commentaire 4 4 5" xfId="5492" xr:uid="{00000000-0005-0000-0000-0000300A0000}"/>
    <cellStyle name="Commentaire 4 4 5 2" xfId="8398" xr:uid="{F5AEA0EC-8A99-48B4-A6D5-6CDA268D6AB5}"/>
    <cellStyle name="Commentaire 4 4 6" xfId="6478" xr:uid="{1AD9F61A-5805-4307-A5C1-ECFF1746FC75}"/>
    <cellStyle name="Commentaire 4 5" xfId="1510" xr:uid="{00000000-0005-0000-0000-0000310A0000}"/>
    <cellStyle name="Commentaire 4 5 2" xfId="4574" xr:uid="{00000000-0005-0000-0000-0000320A0000}"/>
    <cellStyle name="Commentaire 4 5 2 2" xfId="7750" xr:uid="{03D6C58B-14D2-467C-99F7-06D5A6865A02}"/>
    <cellStyle name="Commentaire 4 5 3" xfId="6479" xr:uid="{60F58AC4-307A-4683-819D-F3C1C2F958BB}"/>
    <cellStyle name="Commentaire 4 6" xfId="2471" xr:uid="{00000000-0005-0000-0000-0000330A0000}"/>
    <cellStyle name="Commentaire 4 6 2" xfId="6783" xr:uid="{A3502596-A679-4EA3-8777-BAAB24D2CA5D}"/>
    <cellStyle name="Commentaire 4 7" xfId="2678" xr:uid="{00000000-0005-0000-0000-0000340A0000}"/>
    <cellStyle name="Commentaire 4 7 2" xfId="6880" xr:uid="{62DDD588-68FB-424A-8624-B7CDDC49699F}"/>
    <cellStyle name="Commentaire 4 8" xfId="2143" xr:uid="{00000000-0005-0000-0000-0000350A0000}"/>
    <cellStyle name="Commentaire 4 8 2" xfId="6648" xr:uid="{12BD7FDB-F8CE-46DB-A587-6F40CCF2276C}"/>
    <cellStyle name="Commentaire 4 9" xfId="4646" xr:uid="{00000000-0005-0000-0000-0000360A0000}"/>
    <cellStyle name="Commentaire 4 9 2" xfId="7804" xr:uid="{4E5A415B-4EBA-4E58-8886-CF3E96F03C59}"/>
    <cellStyle name="Commentaire 5" xfId="301" xr:uid="{00000000-0005-0000-0000-0000370A0000}"/>
    <cellStyle name="Commentaire 5 10" xfId="5756" xr:uid="{00000000-0005-0000-0000-0000380A0000}"/>
    <cellStyle name="Commentaire 5 10 2" xfId="8616" xr:uid="{E5645E47-B946-4BF0-84F1-62103E87ECD8}"/>
    <cellStyle name="Commentaire 5 11" xfId="5675" xr:uid="{00000000-0005-0000-0000-0000390A0000}"/>
    <cellStyle name="Commentaire 5 11 2" xfId="8543" xr:uid="{5A3CE439-C2D1-434D-BECC-D30F2E0BE074}"/>
    <cellStyle name="Commentaire 5 12" xfId="6192" xr:uid="{42C83BE8-84A9-4702-B11F-B729390FBBB0}"/>
    <cellStyle name="Commentaire 5 2" xfId="2074" xr:uid="{00000000-0005-0000-0000-00003A0A0000}"/>
    <cellStyle name="Commentaire 5 2 10" xfId="6630" xr:uid="{47FBF29E-33BA-4381-9904-F27EEF68994B}"/>
    <cellStyle name="Commentaire 5 2 2" xfId="2478" xr:uid="{00000000-0005-0000-0000-00003B0A0000}"/>
    <cellStyle name="Commentaire 5 2 2 2" xfId="2961" xr:uid="{00000000-0005-0000-0000-00003C0A0000}"/>
    <cellStyle name="Commentaire 5 2 2 2 2" xfId="6983" xr:uid="{D07ED33D-0D3A-41F3-AC09-2C96A7501756}"/>
    <cellStyle name="Commentaire 5 2 2 3" xfId="4575" xr:uid="{00000000-0005-0000-0000-00003D0A0000}"/>
    <cellStyle name="Commentaire 5 2 2 3 2" xfId="7751" xr:uid="{9BB59206-7DEC-46E6-BC33-0A0ADE2F2024}"/>
    <cellStyle name="Commentaire 5 2 2 4" xfId="5159" xr:uid="{00000000-0005-0000-0000-00003E0A0000}"/>
    <cellStyle name="Commentaire 5 2 2 4 2" xfId="8109" xr:uid="{0F0DC84F-1340-4063-97EC-25B2CAB4588F}"/>
    <cellStyle name="Commentaire 5 2 2 5" xfId="6790" xr:uid="{1FA30044-C0FB-43F6-B7F6-B27A6B691BC9}"/>
    <cellStyle name="Commentaire 5 2 3" xfId="3694" xr:uid="{00000000-0005-0000-0000-00003F0A0000}"/>
    <cellStyle name="Commentaire 5 2 3 2" xfId="7176" xr:uid="{E3FE89FC-05CA-4D37-93CE-36B0FF2B3C34}"/>
    <cellStyle name="Commentaire 5 2 4" xfId="2675" xr:uid="{00000000-0005-0000-0000-0000400A0000}"/>
    <cellStyle name="Commentaire 5 2 4 2" xfId="6877" xr:uid="{82CC5066-F597-4DE9-99DC-0EFB937ADA05}"/>
    <cellStyle name="Commentaire 5 2 5" xfId="2393" xr:uid="{00000000-0005-0000-0000-0000410A0000}"/>
    <cellStyle name="Commentaire 5 2 5 2" xfId="6727" xr:uid="{F9999406-5560-4315-9D24-41BABADE3300}"/>
    <cellStyle name="Commentaire 5 2 6" xfId="4737" xr:uid="{00000000-0005-0000-0000-0000420A0000}"/>
    <cellStyle name="Commentaire 5 2 6 2" xfId="7821" xr:uid="{07BAEF6B-3340-4005-B7ED-1ADF6747603D}"/>
    <cellStyle name="Commentaire 5 2 7" xfId="5493" xr:uid="{00000000-0005-0000-0000-0000430A0000}"/>
    <cellStyle name="Commentaire 5 2 7 2" xfId="8399" xr:uid="{B0F1CF0D-1AB9-4253-93F2-EFE58CFFEE0E}"/>
    <cellStyle name="Commentaire 5 2 8" xfId="5757" xr:uid="{00000000-0005-0000-0000-0000440A0000}"/>
    <cellStyle name="Commentaire 5 2 8 2" xfId="8617" xr:uid="{490D8FF5-326C-4EE3-83F9-33BC37763A8C}"/>
    <cellStyle name="Commentaire 5 2 9" xfId="5673" xr:uid="{00000000-0005-0000-0000-0000450A0000}"/>
    <cellStyle name="Commentaire 5 2 9 2" xfId="8542" xr:uid="{BB4B3AEE-5AEE-4008-BBF6-7E7E77EF22AA}"/>
    <cellStyle name="Commentaire 5 3" xfId="2477" xr:uid="{00000000-0005-0000-0000-0000460A0000}"/>
    <cellStyle name="Commentaire 5 3 2" xfId="2346" xr:uid="{00000000-0005-0000-0000-0000470A0000}"/>
    <cellStyle name="Commentaire 5 3 2 2" xfId="6704" xr:uid="{7B31C688-4EB6-4E9C-A9A0-3FB7D73E25DD}"/>
    <cellStyle name="Commentaire 5 3 3" xfId="4576" xr:uid="{00000000-0005-0000-0000-0000480A0000}"/>
    <cellStyle name="Commentaire 5 3 3 2" xfId="7752" xr:uid="{C42D0AAF-4E99-48F2-8916-8367651CEA83}"/>
    <cellStyle name="Commentaire 5 3 4" xfId="5145" xr:uid="{00000000-0005-0000-0000-0000490A0000}"/>
    <cellStyle name="Commentaire 5 3 4 2" xfId="8096" xr:uid="{D582FC8F-771B-450E-9F95-35E850809890}"/>
    <cellStyle name="Commentaire 5 3 5" xfId="5758" xr:uid="{00000000-0005-0000-0000-00004A0A0000}"/>
    <cellStyle name="Commentaire 5 3 5 2" xfId="8618" xr:uid="{AB10E4D3-CDA4-4E53-AB36-A387DF0E186A}"/>
    <cellStyle name="Commentaire 5 3 6" xfId="5672" xr:uid="{00000000-0005-0000-0000-00004B0A0000}"/>
    <cellStyle name="Commentaire 5 3 6 2" xfId="8541" xr:uid="{A59FE6CD-61B7-4B76-9622-881D7D67311E}"/>
    <cellStyle name="Commentaire 5 3 7" xfId="6789" xr:uid="{1101B6B4-4C5E-4A44-B51B-E9592DE26848}"/>
    <cellStyle name="Commentaire 5 4" xfId="3671" xr:uid="{00000000-0005-0000-0000-00004C0A0000}"/>
    <cellStyle name="Commentaire 5 4 2" xfId="7153" xr:uid="{871F485D-2F14-460D-ABE3-116F74CDACD5}"/>
    <cellStyle name="Commentaire 5 5" xfId="2676" xr:uid="{00000000-0005-0000-0000-00004D0A0000}"/>
    <cellStyle name="Commentaire 5 5 2" xfId="6878" xr:uid="{C63584C7-28D3-4F25-81AC-CDC08C60EE71}"/>
    <cellStyle name="Commentaire 5 6" xfId="2590" xr:uid="{00000000-0005-0000-0000-00004E0A0000}"/>
    <cellStyle name="Commentaire 5 6 2" xfId="6833" xr:uid="{B2B7A87E-4A04-46FB-AC7C-3ED71E57234A}"/>
    <cellStyle name="Commentaire 5 7" xfId="4787" xr:uid="{00000000-0005-0000-0000-00004F0A0000}"/>
    <cellStyle name="Commentaire 5 7 2" xfId="7856" xr:uid="{25B4F4AD-E36F-415E-8622-6BDF13B87BE3}"/>
    <cellStyle name="Commentaire 5 8" xfId="5422" xr:uid="{00000000-0005-0000-0000-0000500A0000}"/>
    <cellStyle name="Commentaire 5 8 2" xfId="8339" xr:uid="{8915826D-C586-448F-AD8A-D076FF4CDE94}"/>
    <cellStyle name="Commentaire 5 9" xfId="652" xr:uid="{00000000-0005-0000-0000-0000510A0000}"/>
    <cellStyle name="Commentaire 5 9 2" xfId="6329" xr:uid="{5FC00D65-15AB-4E7C-BE87-AD572060D7C8}"/>
    <cellStyle name="Commentaire 6" xfId="302" xr:uid="{00000000-0005-0000-0000-0000520A0000}"/>
    <cellStyle name="Commentaire 6 10" xfId="590" xr:uid="{00000000-0005-0000-0000-0000530A0000}"/>
    <cellStyle name="Commentaire 6 10 2" xfId="6306" xr:uid="{480284E3-D524-4963-8676-22B79C9D47B9}"/>
    <cellStyle name="Commentaire 6 11" xfId="5759" xr:uid="{00000000-0005-0000-0000-0000540A0000}"/>
    <cellStyle name="Commentaire 6 11 2" xfId="8619" xr:uid="{C0B86814-D3A2-4D70-9651-6BD70CCB9F5C}"/>
    <cellStyle name="Commentaire 6 12" xfId="5671" xr:uid="{00000000-0005-0000-0000-0000550A0000}"/>
    <cellStyle name="Commentaire 6 12 2" xfId="8540" xr:uid="{3DC98137-71C3-4125-9048-7870EDBD137D}"/>
    <cellStyle name="Commentaire 6 13" xfId="6193" xr:uid="{7BD23AF4-8A12-459E-A768-DCE6E58424CB}"/>
    <cellStyle name="Commentaire 6 2" xfId="773" xr:uid="{00000000-0005-0000-0000-0000560A0000}"/>
    <cellStyle name="Commentaire 6 2 2" xfId="3317" xr:uid="{00000000-0005-0000-0000-0000570A0000}"/>
    <cellStyle name="Commentaire 6 2 2 2" xfId="3696" xr:uid="{00000000-0005-0000-0000-0000580A0000}"/>
    <cellStyle name="Commentaire 6 2 2 2 2" xfId="7178" xr:uid="{1F241282-FB93-4EE3-A57E-BDCF75DB9036}"/>
    <cellStyle name="Commentaire 6 2 2 3" xfId="3775" xr:uid="{00000000-0005-0000-0000-0000590A0000}"/>
    <cellStyle name="Commentaire 6 2 2 3 2" xfId="7234" xr:uid="{1CDA6919-0F63-4D7B-8324-580CA3A3BA68}"/>
    <cellStyle name="Commentaire 6 2 2 4" xfId="4579" xr:uid="{00000000-0005-0000-0000-00005A0A0000}"/>
    <cellStyle name="Commentaire 6 2 2 4 2" xfId="7754" xr:uid="{A0A4454E-CAF9-4416-A6C5-FBF46EB9E71A}"/>
    <cellStyle name="Commentaire 6 2 2 5" xfId="5161" xr:uid="{00000000-0005-0000-0000-00005B0A0000}"/>
    <cellStyle name="Commentaire 6 2 2 5 2" xfId="8111" xr:uid="{A8A74D54-A799-4DF3-ADE9-114A5B0A501B}"/>
    <cellStyle name="Commentaire 6 2 2 6" xfId="7008" xr:uid="{2B2235C3-216B-4E1C-BB49-5F95AFCBE7BF}"/>
    <cellStyle name="Commentaire 6 2 3" xfId="2129" xr:uid="{00000000-0005-0000-0000-00005C0A0000}"/>
    <cellStyle name="Commentaire 6 2 3 2" xfId="6641" xr:uid="{2DAAB79F-C09C-4617-B8D1-CC1F0E3C16E0}"/>
    <cellStyle name="Commentaire 6 2 4" xfId="2391" xr:uid="{00000000-0005-0000-0000-00005D0A0000}"/>
    <cellStyle name="Commentaire 6 2 4 2" xfId="6725" xr:uid="{6AB43F3C-D87C-4C8B-8594-CF5B2D978D8C}"/>
    <cellStyle name="Commentaire 6 2 5" xfId="5046" xr:uid="{00000000-0005-0000-0000-00005E0A0000}"/>
    <cellStyle name="Commentaire 6 2 5 2" xfId="8008" xr:uid="{4AECE959-F715-4670-B0F7-B84C758C1BBA}"/>
    <cellStyle name="Commentaire 6 2 6" xfId="5609" xr:uid="{00000000-0005-0000-0000-00005F0A0000}"/>
    <cellStyle name="Commentaire 6 2 6 2" xfId="8498" xr:uid="{402B31AD-54CF-4E78-9323-1BD2B5FFFE28}"/>
    <cellStyle name="Commentaire 6 2 7" xfId="6420" xr:uid="{3469FDEA-C7E7-4DBF-91AA-50C4D15E5A13}"/>
    <cellStyle name="Commentaire 6 3" xfId="3316" xr:uid="{00000000-0005-0000-0000-0000600A0000}"/>
    <cellStyle name="Commentaire 6 3 2" xfId="2130" xr:uid="{00000000-0005-0000-0000-0000610A0000}"/>
    <cellStyle name="Commentaire 6 3 2 2" xfId="6642" xr:uid="{CF0833B7-29A3-4455-960E-0BAF1B4F46EC}"/>
    <cellStyle name="Commentaire 6 3 3" xfId="3776" xr:uid="{00000000-0005-0000-0000-0000620A0000}"/>
    <cellStyle name="Commentaire 6 3 3 2" xfId="7235" xr:uid="{20838EE6-8A76-4113-9381-ABEBBBC3FB20}"/>
    <cellStyle name="Commentaire 6 3 4" xfId="5160" xr:uid="{00000000-0005-0000-0000-0000630A0000}"/>
    <cellStyle name="Commentaire 6 3 4 2" xfId="8110" xr:uid="{785C2D53-1E50-4211-A152-727DCBC9EF85}"/>
    <cellStyle name="Commentaire 6 3 5" xfId="7007" xr:uid="{3AD4287D-486E-4FAC-AB62-4A2A6DAA60EA}"/>
    <cellStyle name="Commentaire 6 4" xfId="2479" xr:uid="{00000000-0005-0000-0000-0000640A0000}"/>
    <cellStyle name="Commentaire 6 4 2" xfId="3695" xr:uid="{00000000-0005-0000-0000-0000650A0000}"/>
    <cellStyle name="Commentaire 6 4 2 2" xfId="7177" xr:uid="{D8D2B370-3507-4E5A-8948-7C03B4CA777E}"/>
    <cellStyle name="Commentaire 6 4 3" xfId="4577" xr:uid="{00000000-0005-0000-0000-0000660A0000}"/>
    <cellStyle name="Commentaire 6 4 3 2" xfId="7753" xr:uid="{7677D0F6-A740-4C6E-8594-70E788EA9C8D}"/>
    <cellStyle name="Commentaire 6 4 4" xfId="6791" xr:uid="{8EF3A3C1-9333-4B0E-B005-695AFCAC5D57}"/>
    <cellStyle name="Commentaire 6 5" xfId="2674" xr:uid="{00000000-0005-0000-0000-0000670A0000}"/>
    <cellStyle name="Commentaire 6 5 2" xfId="6876" xr:uid="{016DECB6-3CF0-46CF-BDB6-BF8C756935E9}"/>
    <cellStyle name="Commentaire 6 6" xfId="2392" xr:uid="{00000000-0005-0000-0000-0000680A0000}"/>
    <cellStyle name="Commentaire 6 6 2" xfId="6726" xr:uid="{BDB6937B-EC94-4290-996D-1AF2B8732374}"/>
    <cellStyle name="Commentaire 6 7" xfId="4739" xr:uid="{00000000-0005-0000-0000-0000690A0000}"/>
    <cellStyle name="Commentaire 6 7 2" xfId="7823" xr:uid="{4094F987-6B94-4571-A942-2E3D78EB6C86}"/>
    <cellStyle name="Commentaire 6 8" xfId="5423" xr:uid="{00000000-0005-0000-0000-00006A0A0000}"/>
    <cellStyle name="Commentaire 6 8 2" xfId="8340" xr:uid="{863E21FF-E76B-4F34-8082-0475B637AD39}"/>
    <cellStyle name="Commentaire 6 9" xfId="5494" xr:uid="{00000000-0005-0000-0000-00006B0A0000}"/>
    <cellStyle name="Commentaire 6 9 2" xfId="8400" xr:uid="{1A582769-193A-43A5-8B8B-AEAF92E0096C}"/>
    <cellStyle name="Commentaire 7" xfId="1511" xr:uid="{00000000-0005-0000-0000-00006C0A0000}"/>
    <cellStyle name="Commentaire 7 10" xfId="6480" xr:uid="{2DA8E3A2-455C-44AB-9652-FD8939718A9F}"/>
    <cellStyle name="Commentaire 7 2" xfId="2480" xr:uid="{00000000-0005-0000-0000-00006D0A0000}"/>
    <cellStyle name="Commentaire 7 2 2" xfId="2201" xr:uid="{00000000-0005-0000-0000-00006E0A0000}"/>
    <cellStyle name="Commentaire 7 2 2 2" xfId="6666" xr:uid="{6E0AF15C-75BF-4327-83CC-73EE5049D458}"/>
    <cellStyle name="Commentaire 7 2 3" xfId="4581" xr:uid="{00000000-0005-0000-0000-00006F0A0000}"/>
    <cellStyle name="Commentaire 7 2 3 2" xfId="7756" xr:uid="{30F99131-1236-4E4E-866B-7A1388DE434B}"/>
    <cellStyle name="Commentaire 7 2 4" xfId="5162" xr:uid="{00000000-0005-0000-0000-0000700A0000}"/>
    <cellStyle name="Commentaire 7 2 4 2" xfId="8112" xr:uid="{C3B24CDC-4F52-4428-8444-81160ED1C2B2}"/>
    <cellStyle name="Commentaire 7 2 5" xfId="6792" xr:uid="{94AB3601-E592-4BCE-92B1-3A7D5C61EB5F}"/>
    <cellStyle name="Commentaire 7 3" xfId="3697" xr:uid="{00000000-0005-0000-0000-0000710A0000}"/>
    <cellStyle name="Commentaire 7 3 2" xfId="4580" xr:uid="{00000000-0005-0000-0000-0000720A0000}"/>
    <cellStyle name="Commentaire 7 3 2 2" xfId="7755" xr:uid="{C27E94A2-5698-4AA3-A393-FDE78F5E56EA}"/>
    <cellStyle name="Commentaire 7 3 3" xfId="7179" xr:uid="{37142BC3-BEAD-423D-9535-A007F895F6BB}"/>
    <cellStyle name="Commentaire 7 4" xfId="2673" xr:uid="{00000000-0005-0000-0000-0000730A0000}"/>
    <cellStyle name="Commentaire 7 4 2" xfId="6875" xr:uid="{FFA8ED2B-4699-4226-B127-856559F39111}"/>
    <cellStyle name="Commentaire 7 5" xfId="2389" xr:uid="{00000000-0005-0000-0000-0000740A0000}"/>
    <cellStyle name="Commentaire 7 5 2" xfId="6724" xr:uid="{5A07D2BE-5E5D-4CC7-92BD-B56A452CD145}"/>
    <cellStyle name="Commentaire 7 6" xfId="4740" xr:uid="{00000000-0005-0000-0000-0000750A0000}"/>
    <cellStyle name="Commentaire 7 6 2" xfId="7824" xr:uid="{CF0A4580-4E76-4AAF-AF2A-C8502C529EE4}"/>
    <cellStyle name="Commentaire 7 7" xfId="5495" xr:uid="{00000000-0005-0000-0000-0000760A0000}"/>
    <cellStyle name="Commentaire 7 7 2" xfId="8401" xr:uid="{CDD0ED54-CF2D-4B4B-B81D-E38A06727466}"/>
    <cellStyle name="Commentaire 7 8" xfId="5760" xr:uid="{00000000-0005-0000-0000-0000770A0000}"/>
    <cellStyle name="Commentaire 7 8 2" xfId="8620" xr:uid="{AAD4BD90-DC86-49CE-8C73-8EEA7931AA18}"/>
    <cellStyle name="Commentaire 7 9" xfId="5670" xr:uid="{00000000-0005-0000-0000-0000780A0000}"/>
    <cellStyle name="Commentaire 7 9 2" xfId="8539" xr:uid="{F0E0A76F-BB2D-48D6-954B-8CE6C4D2C3A1}"/>
    <cellStyle name="Commentaire 8" xfId="1512" xr:uid="{00000000-0005-0000-0000-0000790A0000}"/>
    <cellStyle name="Commentaire 8 10" xfId="6481" xr:uid="{5447C8AD-19F4-493F-8CD1-C55EB32882F3}"/>
    <cellStyle name="Commentaire 8 2" xfId="3319" xr:uid="{00000000-0005-0000-0000-00007A0A0000}"/>
    <cellStyle name="Commentaire 8 2 2" xfId="3699" xr:uid="{00000000-0005-0000-0000-00007B0A0000}"/>
    <cellStyle name="Commentaire 8 2 2 2" xfId="3778" xr:uid="{00000000-0005-0000-0000-00007C0A0000}"/>
    <cellStyle name="Commentaire 8 2 2 2 2" xfId="7237" xr:uid="{71C981E3-6E14-4A47-975D-E05A14FF4B3A}"/>
    <cellStyle name="Commentaire 8 2 2 3" xfId="4583" xr:uid="{00000000-0005-0000-0000-00007D0A0000}"/>
    <cellStyle name="Commentaire 8 2 2 3 2" xfId="7758" xr:uid="{AC2442C6-CEFF-4B0D-8A7E-271CA9743016}"/>
    <cellStyle name="Commentaire 8 2 2 4" xfId="5164" xr:uid="{00000000-0005-0000-0000-00007E0A0000}"/>
    <cellStyle name="Commentaire 8 2 2 4 2" xfId="8114" xr:uid="{9FC8362A-4332-449A-A904-60A3855F9BF8}"/>
    <cellStyle name="Commentaire 8 2 2 5" xfId="7181" xr:uid="{C537AF70-933F-4811-AAD3-D195C74D6BD3}"/>
    <cellStyle name="Commentaire 8 2 3" xfId="2048" xr:uid="{00000000-0005-0000-0000-00007F0A0000}"/>
    <cellStyle name="Commentaire 8 2 3 2" xfId="6618" xr:uid="{1F19B4D2-D31F-45C7-9436-5B8AE58F9EE3}"/>
    <cellStyle name="Commentaire 8 2 4" xfId="2387" xr:uid="{00000000-0005-0000-0000-0000800A0000}"/>
    <cellStyle name="Commentaire 8 2 4 2" xfId="6723" xr:uid="{7A173296-E58B-46AD-BB11-008C47780572}"/>
    <cellStyle name="Commentaire 8 2 5" xfId="4150" xr:uid="{00000000-0005-0000-0000-0000810A0000}"/>
    <cellStyle name="Commentaire 8 2 5 2" xfId="7408" xr:uid="{4499E3D9-8C34-4D51-B857-B262FDA7076F}"/>
    <cellStyle name="Commentaire 8 2 6" xfId="5608" xr:uid="{00000000-0005-0000-0000-0000820A0000}"/>
    <cellStyle name="Commentaire 8 2 6 2" xfId="8497" xr:uid="{F3902A9F-9FAC-4356-A403-716C908D165B}"/>
    <cellStyle name="Commentaire 8 2 7" xfId="7010" xr:uid="{E131AC5A-9282-47AB-BCFA-363FC47DE48F}"/>
    <cellStyle name="Commentaire 8 3" xfId="3318" xr:uid="{00000000-0005-0000-0000-0000830A0000}"/>
    <cellStyle name="Commentaire 8 3 2" xfId="3698" xr:uid="{00000000-0005-0000-0000-0000840A0000}"/>
    <cellStyle name="Commentaire 8 3 2 2" xfId="7180" xr:uid="{99AC46A6-6916-4AAE-AAA8-0B1014C6CB0A}"/>
    <cellStyle name="Commentaire 8 3 3" xfId="3777" xr:uid="{00000000-0005-0000-0000-0000850A0000}"/>
    <cellStyle name="Commentaire 8 3 3 2" xfId="7236" xr:uid="{4830C235-7D82-4615-84B0-BBC5C9286307}"/>
    <cellStyle name="Commentaire 8 3 4" xfId="4584" xr:uid="{00000000-0005-0000-0000-0000860A0000}"/>
    <cellStyle name="Commentaire 8 3 4 2" xfId="7759" xr:uid="{D6BF06EF-2E6F-4D28-A455-DB800A667C80}"/>
    <cellStyle name="Commentaire 8 3 5" xfId="5163" xr:uid="{00000000-0005-0000-0000-0000870A0000}"/>
    <cellStyle name="Commentaire 8 3 5 2" xfId="8113" xr:uid="{844E4B22-C700-4F43-9799-D6B232D22697}"/>
    <cellStyle name="Commentaire 8 3 6" xfId="7009" xr:uid="{AE75E720-222E-459A-9656-ADD754A3C0DF}"/>
    <cellStyle name="Commentaire 8 4" xfId="2127" xr:uid="{00000000-0005-0000-0000-0000880A0000}"/>
    <cellStyle name="Commentaire 8 4 2" xfId="4582" xr:uid="{00000000-0005-0000-0000-0000890A0000}"/>
    <cellStyle name="Commentaire 8 4 2 2" xfId="7757" xr:uid="{2CAE11B1-644E-45FB-B59F-99D88F5C2F3C}"/>
    <cellStyle name="Commentaire 8 4 3" xfId="6640" xr:uid="{C8E11A8C-9B62-4381-AD89-CA1B99B367AF}"/>
    <cellStyle name="Commentaire 8 5" xfId="3774" xr:uid="{00000000-0005-0000-0000-00008A0A0000}"/>
    <cellStyle name="Commentaire 8 5 2" xfId="7233" xr:uid="{DDDD6E50-F001-44E7-A60E-0586593381B9}"/>
    <cellStyle name="Commentaire 8 6" xfId="4733" xr:uid="{00000000-0005-0000-0000-00008B0A0000}"/>
    <cellStyle name="Commentaire 8 6 2" xfId="7817" xr:uid="{CF4513E5-8920-40CA-8EBC-3D222AE1DB60}"/>
    <cellStyle name="Commentaire 8 7" xfId="5562" xr:uid="{00000000-0005-0000-0000-00008C0A0000}"/>
    <cellStyle name="Commentaire 8 7 2" xfId="8456" xr:uid="{B971EAA3-0C1A-4EF4-8781-D7F57A3B1A46}"/>
    <cellStyle name="Commentaire 8 8" xfId="5761" xr:uid="{00000000-0005-0000-0000-00008D0A0000}"/>
    <cellStyle name="Commentaire 8 8 2" xfId="8621" xr:uid="{CFF8DE1D-A23A-4646-BC8D-EBD691A69128}"/>
    <cellStyle name="Commentaire 8 9" xfId="5669" xr:uid="{00000000-0005-0000-0000-00008E0A0000}"/>
    <cellStyle name="Commentaire 8 9 2" xfId="8538" xr:uid="{72778ACD-B8E1-4C7D-A8CF-E170CB198B74}"/>
    <cellStyle name="Commentaire 9" xfId="1513" xr:uid="{00000000-0005-0000-0000-00008F0A0000}"/>
    <cellStyle name="Commentaire 9 2" xfId="1514" xr:uid="{00000000-0005-0000-0000-0000900A0000}"/>
    <cellStyle name="Commentaire 9 2 2" xfId="3321" xr:uid="{00000000-0005-0000-0000-0000910A0000}"/>
    <cellStyle name="Commentaire 9 2 2 2" xfId="3701" xr:uid="{00000000-0005-0000-0000-0000920A0000}"/>
    <cellStyle name="Commentaire 9 2 2 2 2" xfId="7183" xr:uid="{728C0716-DBC2-47A9-85C5-5A2861475D5D}"/>
    <cellStyle name="Commentaire 9 2 2 3" xfId="3780" xr:uid="{00000000-0005-0000-0000-0000930A0000}"/>
    <cellStyle name="Commentaire 9 2 2 3 2" xfId="7239" xr:uid="{363795AB-78AB-48E3-AA8C-DC09381083A5}"/>
    <cellStyle name="Commentaire 9 2 2 4" xfId="4585" xr:uid="{00000000-0005-0000-0000-0000940A0000}"/>
    <cellStyle name="Commentaire 9 2 2 4 2" xfId="7760" xr:uid="{36EB293A-F586-4993-A919-72823AAA23AF}"/>
    <cellStyle name="Commentaire 9 2 2 5" xfId="5166" xr:uid="{00000000-0005-0000-0000-0000950A0000}"/>
    <cellStyle name="Commentaire 9 2 2 5 2" xfId="8116" xr:uid="{E868A377-AC9C-4E53-A517-A7D2C2A03F23}"/>
    <cellStyle name="Commentaire 9 2 2 6" xfId="7012" xr:uid="{C72F3C03-A66F-4DFE-B8B8-17AD16AA98DF}"/>
    <cellStyle name="Commentaire 9 2 3" xfId="2061" xr:uid="{00000000-0005-0000-0000-0000960A0000}"/>
    <cellStyle name="Commentaire 9 2 3 2" xfId="6625" xr:uid="{416CB78B-273F-4F46-B7E1-75160B020D3D}"/>
    <cellStyle name="Commentaire 9 2 4" xfId="2179" xr:uid="{00000000-0005-0000-0000-0000970A0000}"/>
    <cellStyle name="Commentaire 9 2 4 2" xfId="6654" xr:uid="{44D3397E-CB2C-4F19-8B92-C97C910A9644}"/>
    <cellStyle name="Commentaire 9 2 5" xfId="4900" xr:uid="{00000000-0005-0000-0000-0000980A0000}"/>
    <cellStyle name="Commentaire 9 2 5 2" xfId="7911" xr:uid="{18798D51-D93F-45B1-829D-3C0749006F9F}"/>
    <cellStyle name="Commentaire 9 2 6" xfId="5606" xr:uid="{00000000-0005-0000-0000-0000990A0000}"/>
    <cellStyle name="Commentaire 9 2 6 2" xfId="8495" xr:uid="{97C24E53-9433-43F7-B6DE-233CB2B0C6D9}"/>
    <cellStyle name="Commentaire 9 2 7" xfId="6483" xr:uid="{830BC5DC-4B4E-4291-B5B5-0B6EFE58C288}"/>
    <cellStyle name="Commentaire 9 3" xfId="3320" xr:uid="{00000000-0005-0000-0000-00009A0A0000}"/>
    <cellStyle name="Commentaire 9 3 2" xfId="3700" xr:uid="{00000000-0005-0000-0000-00009B0A0000}"/>
    <cellStyle name="Commentaire 9 3 2 2" xfId="7182" xr:uid="{D13D97E4-E0B7-4F99-8451-59E50B8E7A3A}"/>
    <cellStyle name="Commentaire 9 3 3" xfId="3779" xr:uid="{00000000-0005-0000-0000-00009C0A0000}"/>
    <cellStyle name="Commentaire 9 3 3 2" xfId="7238" xr:uid="{88093AD9-545A-49C0-8F18-BC3B24EA4075}"/>
    <cellStyle name="Commentaire 9 3 4" xfId="4586" xr:uid="{00000000-0005-0000-0000-00009D0A0000}"/>
    <cellStyle name="Commentaire 9 3 4 2" xfId="7761" xr:uid="{A582E7A7-72A9-4088-B388-F4FDA23080EB}"/>
    <cellStyle name="Commentaire 9 3 5" xfId="5165" xr:uid="{00000000-0005-0000-0000-00009E0A0000}"/>
    <cellStyle name="Commentaire 9 3 5 2" xfId="8115" xr:uid="{FBAF03F9-71E0-45FE-9B5E-229877B54A07}"/>
    <cellStyle name="Commentaire 9 3 6" xfId="7011" xr:uid="{266B1922-BB79-4152-882D-AD88126106E5}"/>
    <cellStyle name="Commentaire 9 4" xfId="2131" xr:uid="{00000000-0005-0000-0000-00009F0A0000}"/>
    <cellStyle name="Commentaire 9 4 2" xfId="6643" xr:uid="{77E8C9C7-C5A5-4A22-B31C-FAD674D58F67}"/>
    <cellStyle name="Commentaire 9 5" xfId="2059" xr:uid="{00000000-0005-0000-0000-0000A00A0000}"/>
    <cellStyle name="Commentaire 9 5 2" xfId="6624" xr:uid="{7F70B7EB-2EF5-423C-933F-86836179745A}"/>
    <cellStyle name="Commentaire 9 6" xfId="4742" xr:uid="{00000000-0005-0000-0000-0000A10A0000}"/>
    <cellStyle name="Commentaire 9 6 2" xfId="7826" xr:uid="{7C22619C-998D-4BD7-9C68-C9B5B3DB7053}"/>
    <cellStyle name="Commentaire 9 7" xfId="5607" xr:uid="{00000000-0005-0000-0000-0000A20A0000}"/>
    <cellStyle name="Commentaire 9 7 2" xfId="8496" xr:uid="{8A635354-CDBF-4C09-9830-E16D9BD0B600}"/>
    <cellStyle name="Commentaire 9 8" xfId="6482" xr:uid="{2A0A91F4-06D1-464A-8620-E0F2C9200A38}"/>
    <cellStyle name="Currency [0]_Division I" xfId="5762" xr:uid="{00000000-0005-0000-0000-0000A30A0000}"/>
    <cellStyle name="Currency_Division I" xfId="5763" xr:uid="{00000000-0005-0000-0000-0000A40A0000}"/>
    <cellStyle name="Decimal_1dp" xfId="5764" xr:uid="{00000000-0005-0000-0000-0000A50A0000}"/>
    <cellStyle name="Emphase 1" xfId="303" xr:uid="{00000000-0005-0000-0000-0000A60A0000}"/>
    <cellStyle name="Emphase 1 2" xfId="304" xr:uid="{00000000-0005-0000-0000-0000A70A0000}"/>
    <cellStyle name="Emphase 1 2 2" xfId="3322" xr:uid="{00000000-0005-0000-0000-0000A80A0000}"/>
    <cellStyle name="Emphase 1 2 3" xfId="3323" xr:uid="{00000000-0005-0000-0000-0000A90A0000}"/>
    <cellStyle name="Emphase 1 2 4" xfId="2890" xr:uid="{00000000-0005-0000-0000-0000AA0A0000}"/>
    <cellStyle name="Emphase 1 2 5" xfId="2851" xr:uid="{00000000-0005-0000-0000-0000AB0A0000}"/>
    <cellStyle name="Emphase 1 3" xfId="305" xr:uid="{00000000-0005-0000-0000-0000AC0A0000}"/>
    <cellStyle name="Emphase 1 3 2" xfId="3324" xr:uid="{00000000-0005-0000-0000-0000AD0A0000}"/>
    <cellStyle name="Emphase 1 3 3" xfId="3949" xr:uid="{00000000-0005-0000-0000-0000AE0A0000}"/>
    <cellStyle name="Emphase 1 3 4" xfId="3895" xr:uid="{00000000-0005-0000-0000-0000AF0A0000}"/>
    <cellStyle name="Emphase 1 4" xfId="306" xr:uid="{00000000-0005-0000-0000-0000B00A0000}"/>
    <cellStyle name="Emphase 1 5" xfId="2850" xr:uid="{00000000-0005-0000-0000-0000B10A0000}"/>
    <cellStyle name="Emphase 2" xfId="307" xr:uid="{00000000-0005-0000-0000-0000B20A0000}"/>
    <cellStyle name="Emphase 2 2" xfId="308" xr:uid="{00000000-0005-0000-0000-0000B30A0000}"/>
    <cellStyle name="Emphase 2 2 2" xfId="3325" xr:uid="{00000000-0005-0000-0000-0000B40A0000}"/>
    <cellStyle name="Emphase 2 2 3" xfId="3326" xr:uid="{00000000-0005-0000-0000-0000B50A0000}"/>
    <cellStyle name="Emphase 2 2 4" xfId="2891" xr:uid="{00000000-0005-0000-0000-0000B60A0000}"/>
    <cellStyle name="Emphase 2 2 5" xfId="2853" xr:uid="{00000000-0005-0000-0000-0000B70A0000}"/>
    <cellStyle name="Emphase 2 3" xfId="309" xr:uid="{00000000-0005-0000-0000-0000B80A0000}"/>
    <cellStyle name="Emphase 2 3 2" xfId="3327" xr:uid="{00000000-0005-0000-0000-0000B90A0000}"/>
    <cellStyle name="Emphase 2 3 3" xfId="3951" xr:uid="{00000000-0005-0000-0000-0000BA0A0000}"/>
    <cellStyle name="Emphase 2 3 4" xfId="3896" xr:uid="{00000000-0005-0000-0000-0000BB0A0000}"/>
    <cellStyle name="Emphase 2 4" xfId="310" xr:uid="{00000000-0005-0000-0000-0000BC0A0000}"/>
    <cellStyle name="Emphase 2 5" xfId="2852" xr:uid="{00000000-0005-0000-0000-0000BD0A0000}"/>
    <cellStyle name="Emphase 3" xfId="311" xr:uid="{00000000-0005-0000-0000-0000BE0A0000}"/>
    <cellStyle name="Emphase 3 2" xfId="312" xr:uid="{00000000-0005-0000-0000-0000BF0A0000}"/>
    <cellStyle name="Emphase 3 2 2" xfId="3329" xr:uid="{00000000-0005-0000-0000-0000C00A0000}"/>
    <cellStyle name="Emphase 3 2 3" xfId="3330" xr:uid="{00000000-0005-0000-0000-0000C10A0000}"/>
    <cellStyle name="Emphase 3 2 4" xfId="2892" xr:uid="{00000000-0005-0000-0000-0000C20A0000}"/>
    <cellStyle name="Emphase 3 2 5" xfId="2855" xr:uid="{00000000-0005-0000-0000-0000C30A0000}"/>
    <cellStyle name="Emphase 3 3" xfId="313" xr:uid="{00000000-0005-0000-0000-0000C40A0000}"/>
    <cellStyle name="Emphase 3 3 2" xfId="3331" xr:uid="{00000000-0005-0000-0000-0000C50A0000}"/>
    <cellStyle name="Emphase 3 3 3" xfId="3952" xr:uid="{00000000-0005-0000-0000-0000C60A0000}"/>
    <cellStyle name="Emphase 3 3 4" xfId="3897" xr:uid="{00000000-0005-0000-0000-0000C70A0000}"/>
    <cellStyle name="Emphase 3 4" xfId="314" xr:uid="{00000000-0005-0000-0000-0000C80A0000}"/>
    <cellStyle name="Emphase 3 5" xfId="2854" xr:uid="{00000000-0005-0000-0000-0000C90A0000}"/>
    <cellStyle name="Entrée" xfId="315" builtinId="20" customBuiltin="1"/>
    <cellStyle name="Entrée 10" xfId="2856" xr:uid="{00000000-0005-0000-0000-0000CB0A0000}"/>
    <cellStyle name="Entrée 10 2" xfId="2578" xr:uid="{00000000-0005-0000-0000-0000CC0A0000}"/>
    <cellStyle name="Entrée 10 2 2" xfId="6827" xr:uid="{C5A6EA17-09A9-478D-A62E-E770DED2996F}"/>
    <cellStyle name="Entrée 10 3" xfId="4587" xr:uid="{00000000-0005-0000-0000-0000CD0A0000}"/>
    <cellStyle name="Entrée 10 4" xfId="6939" xr:uid="{CA92D403-EB91-4106-8306-CF5E2CC094C2}"/>
    <cellStyle name="Entrée 11" xfId="2484" xr:uid="{00000000-0005-0000-0000-0000CE0A0000}"/>
    <cellStyle name="Entrée 11 2" xfId="2549" xr:uid="{00000000-0005-0000-0000-0000CF0A0000}"/>
    <cellStyle name="Entrée 11 2 2" xfId="6820" xr:uid="{35F6AC9D-1414-4D8D-B9B5-133F53BE027D}"/>
    <cellStyle name="Entrée 11 3" xfId="6793" xr:uid="{8D038110-8D2F-4371-B306-875EADA3809A}"/>
    <cellStyle name="Entrée 12" xfId="3478" xr:uid="{00000000-0005-0000-0000-0000D00A0000}"/>
    <cellStyle name="Entrée 12 2" xfId="7071" xr:uid="{A9D09DD3-365E-4635-86B7-7846C4187A47}"/>
    <cellStyle name="Entrée 13" xfId="4187" xr:uid="{00000000-0005-0000-0000-0000D10A0000}"/>
    <cellStyle name="Entrée 13 2" xfId="7414" xr:uid="{85EBDECA-B91C-4721-8123-D1DDE18948CF}"/>
    <cellStyle name="Entrée 14" xfId="5229" xr:uid="{00000000-0005-0000-0000-0000D20A0000}"/>
    <cellStyle name="Entrée 14 2" xfId="8162" xr:uid="{35CE4A24-85AF-48E6-B39F-AA1A17B1F3DC}"/>
    <cellStyle name="Entrée 15" xfId="6194" xr:uid="{15F7BF7C-4DAC-4CFC-B263-5FEBA5BAA6EF}"/>
    <cellStyle name="Entrée 2" xfId="316" xr:uid="{00000000-0005-0000-0000-0000D30A0000}"/>
    <cellStyle name="Entrée 2 10" xfId="2485" xr:uid="{00000000-0005-0000-0000-0000D40A0000}"/>
    <cellStyle name="Entrée 2 10 2" xfId="6794" xr:uid="{944C4852-0741-4C8F-9CEC-D4C8909F4333}"/>
    <cellStyle name="Entrée 2 11" xfId="2644" xr:uid="{00000000-0005-0000-0000-0000D50A0000}"/>
    <cellStyle name="Entrée 2 11 2" xfId="6849" xr:uid="{56317047-F9BA-49EB-B394-CEF22393AB31}"/>
    <cellStyle name="Entrée 2 12" xfId="2177" xr:uid="{00000000-0005-0000-0000-0000D60A0000}"/>
    <cellStyle name="Entrée 2 12 2" xfId="6652" xr:uid="{3DFE48B9-0AC2-48FA-8D93-EDB572922945}"/>
    <cellStyle name="Entrée 2 13" xfId="4115" xr:uid="{00000000-0005-0000-0000-0000D70A0000}"/>
    <cellStyle name="Entrée 2 13 2" xfId="7388" xr:uid="{8F509D08-1420-4FFC-AF8A-CD3155F872F3}"/>
    <cellStyle name="Entrée 2 14" xfId="5424" xr:uid="{00000000-0005-0000-0000-0000D80A0000}"/>
    <cellStyle name="Entrée 2 14 2" xfId="8341" xr:uid="{EB5B790D-F0B8-49AA-8715-0C6EF7A77949}"/>
    <cellStyle name="Entrée 2 15" xfId="615" xr:uid="{00000000-0005-0000-0000-0000D90A0000}"/>
    <cellStyle name="Entrée 2 15 2" xfId="6316" xr:uid="{CC6FE8A8-5182-4352-97BF-A3274944D7D2}"/>
    <cellStyle name="Entrée 2 16" xfId="5765" xr:uid="{00000000-0005-0000-0000-0000DA0A0000}"/>
    <cellStyle name="Entrée 2 16 2" xfId="8622" xr:uid="{E2C9832C-B97E-4942-B73B-8A6818A97601}"/>
    <cellStyle name="Entrée 2 17" xfId="5668" xr:uid="{00000000-0005-0000-0000-0000DB0A0000}"/>
    <cellStyle name="Entrée 2 17 2" xfId="8537" xr:uid="{6A67B39A-A8A6-4040-98D2-6A1BB9901EF2}"/>
    <cellStyle name="Entrée 2 18" xfId="6195" xr:uid="{00B9B6EF-E333-430B-AE59-325131D90E80}"/>
    <cellStyle name="Entrée 2 2" xfId="317" xr:uid="{00000000-0005-0000-0000-0000DC0A0000}"/>
    <cellStyle name="Entrée 2 2 10" xfId="5766" xr:uid="{00000000-0005-0000-0000-0000DD0A0000}"/>
    <cellStyle name="Entrée 2 2 10 2" xfId="8623" xr:uid="{00CA71DC-613E-4263-8DC9-5A2AEAC1BDC8}"/>
    <cellStyle name="Entrée 2 2 11" xfId="5667" xr:uid="{00000000-0005-0000-0000-0000DE0A0000}"/>
    <cellStyle name="Entrée 2 2 11 2" xfId="8536" xr:uid="{530329D9-7918-4B11-A9A6-EC9E255AB71C}"/>
    <cellStyle name="Entrée 2 2 12" xfId="6196" xr:uid="{48A2EC68-23B0-4117-8924-7E1081E3E4F7}"/>
    <cellStyle name="Entrée 2 2 2" xfId="1516" xr:uid="{00000000-0005-0000-0000-0000DF0A0000}"/>
    <cellStyle name="Entrée 2 2 2 10" xfId="5666" xr:uid="{00000000-0005-0000-0000-0000E00A0000}"/>
    <cellStyle name="Entrée 2 2 2 10 2" xfId="8535" xr:uid="{3D518FF8-BBD7-4DBA-9278-E6BDFA9CE239}"/>
    <cellStyle name="Entrée 2 2 2 11" xfId="6484" xr:uid="{6CF4CC05-9AF4-474F-93F6-C56053AA708D}"/>
    <cellStyle name="Entrée 2 2 2 2" xfId="3332" xr:uid="{00000000-0005-0000-0000-0000E10A0000}"/>
    <cellStyle name="Entrée 2 2 2 2 2" xfId="3702" xr:uid="{00000000-0005-0000-0000-0000E20A0000}"/>
    <cellStyle name="Entrée 2 2 2 2 2 2" xfId="7184" xr:uid="{3E6A23B7-6F8A-438E-966C-3C7C8EF596C4}"/>
    <cellStyle name="Entrée 2 2 2 2 3" xfId="4588" xr:uid="{00000000-0005-0000-0000-0000E30A0000}"/>
    <cellStyle name="Entrée 2 2 2 2 3 2" xfId="7762" xr:uid="{335484A4-7DB5-400C-98E5-D2768F6BB241}"/>
    <cellStyle name="Entrée 2 2 2 2 4" xfId="7013" xr:uid="{BAB3E7AF-E69B-4E9E-AC2E-9AD805ACB213}"/>
    <cellStyle name="Entrée 2 2 2 3" xfId="2487" xr:uid="{00000000-0005-0000-0000-0000E40A0000}"/>
    <cellStyle name="Entrée 2 2 2 3 2" xfId="6796" xr:uid="{D13266D7-1BFE-45AB-82D7-DFEA1C9A2EE1}"/>
    <cellStyle name="Entrée 2 2 2 4" xfId="2203" xr:uid="{00000000-0005-0000-0000-0000E50A0000}"/>
    <cellStyle name="Entrée 2 2 2 4 2" xfId="6667" xr:uid="{59ADACE4-B51F-44F8-A9DB-899F60FC26A1}"/>
    <cellStyle name="Entrée 2 2 2 5" xfId="2381" xr:uid="{00000000-0005-0000-0000-0000E60A0000}"/>
    <cellStyle name="Entrée 2 2 2 5 2" xfId="6720" xr:uid="{C0345D36-F50A-4890-9794-F5501CAC146A}"/>
    <cellStyle name="Entrée 2 2 2 6" xfId="4901" xr:uid="{00000000-0005-0000-0000-0000E70A0000}"/>
    <cellStyle name="Entrée 2 2 2 6 2" xfId="7912" xr:uid="{7E018B2E-7E01-404A-92EE-177B9B0BB45E}"/>
    <cellStyle name="Entrée 2 2 2 7" xfId="5496" xr:uid="{00000000-0005-0000-0000-0000E80A0000}"/>
    <cellStyle name="Entrée 2 2 2 7 2" xfId="8402" xr:uid="{1D6836B0-0D7E-420F-9CB5-425B8C642403}"/>
    <cellStyle name="Entrée 2 2 2 8" xfId="5605" xr:uid="{00000000-0005-0000-0000-0000E90A0000}"/>
    <cellStyle name="Entrée 2 2 2 8 2" xfId="8494" xr:uid="{DACD2D06-81C2-4A2E-A4EB-389553559686}"/>
    <cellStyle name="Entrée 2 2 2 9" xfId="5767" xr:uid="{00000000-0005-0000-0000-0000EA0A0000}"/>
    <cellStyle name="Entrée 2 2 2 9 2" xfId="8624" xr:uid="{72E242EB-440C-42FF-8D09-BD79F78E6037}"/>
    <cellStyle name="Entrée 2 2 3" xfId="1517" xr:uid="{00000000-0005-0000-0000-0000EB0A0000}"/>
    <cellStyle name="Entrée 2 2 3 2" xfId="2344" xr:uid="{00000000-0005-0000-0000-0000EC0A0000}"/>
    <cellStyle name="Entrée 2 2 3 2 2" xfId="6703" xr:uid="{10FDEDB6-C87E-4965-B84D-D026C76D1409}"/>
    <cellStyle name="Entrée 2 2 3 3" xfId="4589" xr:uid="{00000000-0005-0000-0000-0000ED0A0000}"/>
    <cellStyle name="Entrée 2 2 3 3 2" xfId="7763" xr:uid="{D9771209-244C-4089-9372-E5D279D385BE}"/>
    <cellStyle name="Entrée 2 2 3 4" xfId="6485" xr:uid="{B180DAC3-EFD0-412D-BE3D-17A7D2DBFD00}"/>
    <cellStyle name="Entrée 2 2 4" xfId="2486" xr:uid="{00000000-0005-0000-0000-0000EE0A0000}"/>
    <cellStyle name="Entrée 2 2 4 2" xfId="6795" xr:uid="{468F8B67-B16F-4EF4-A4D1-603D39CB56B7}"/>
    <cellStyle name="Entrée 2 2 5" xfId="2643" xr:uid="{00000000-0005-0000-0000-0000EF0A0000}"/>
    <cellStyle name="Entrée 2 2 5 2" xfId="6848" xr:uid="{7CE3F89C-9FA4-46DE-9AC9-A388BB0249ED}"/>
    <cellStyle name="Entrée 2 2 6" xfId="3766" xr:uid="{00000000-0005-0000-0000-0000F00A0000}"/>
    <cellStyle name="Entrée 2 2 6 2" xfId="7226" xr:uid="{B961F65B-EDCB-4F17-BEE6-A6E7AAAEEF70}"/>
    <cellStyle name="Entrée 2 2 7" xfId="4642" xr:uid="{00000000-0005-0000-0000-0000F10A0000}"/>
    <cellStyle name="Entrée 2 2 7 2" xfId="7802" xr:uid="{DBE5A167-C05A-4594-9DFC-1E3D40CCC202}"/>
    <cellStyle name="Entrée 2 2 8" xfId="5425" xr:uid="{00000000-0005-0000-0000-0000F20A0000}"/>
    <cellStyle name="Entrée 2 2 8 2" xfId="8342" xr:uid="{791D26D4-645B-4138-A5D1-740338DFF3B2}"/>
    <cellStyle name="Entrée 2 2 9" xfId="650" xr:uid="{00000000-0005-0000-0000-0000F30A0000}"/>
    <cellStyle name="Entrée 2 2 9 2" xfId="6327" xr:uid="{8FFB55BC-895F-45EB-910B-DD38FE01CF23}"/>
    <cellStyle name="Entrée 2 3" xfId="318" xr:uid="{00000000-0005-0000-0000-0000F40A0000}"/>
    <cellStyle name="Entrée 2 3 10" xfId="5768" xr:uid="{00000000-0005-0000-0000-0000F50A0000}"/>
    <cellStyle name="Entrée 2 3 10 2" xfId="8625" xr:uid="{4F5745B4-4529-4AE3-A6C0-1E31A184FCEF}"/>
    <cellStyle name="Entrée 2 3 11" xfId="5665" xr:uid="{00000000-0005-0000-0000-0000F60A0000}"/>
    <cellStyle name="Entrée 2 3 11 2" xfId="8534" xr:uid="{9D2A9FEB-ED57-45BC-9654-A48264B0F1CE}"/>
    <cellStyle name="Entrée 2 3 12" xfId="6197" xr:uid="{CFC4A0C7-C4EC-466B-990B-B647B6A1311D}"/>
    <cellStyle name="Entrée 2 3 2" xfId="1518" xr:uid="{00000000-0005-0000-0000-0000F70A0000}"/>
    <cellStyle name="Entrée 2 3 2 10" xfId="5769" xr:uid="{00000000-0005-0000-0000-0000F80A0000}"/>
    <cellStyle name="Entrée 2 3 2 10 2" xfId="8626" xr:uid="{23B97F9F-6DDD-4743-8566-768BFB9CB686}"/>
    <cellStyle name="Entrée 2 3 2 11" xfId="5664" xr:uid="{00000000-0005-0000-0000-0000F90A0000}"/>
    <cellStyle name="Entrée 2 3 2 11 2" xfId="8533" xr:uid="{C79916C7-8A97-49FF-BFA4-8AD646578D47}"/>
    <cellStyle name="Entrée 2 3 2 12" xfId="6486" xr:uid="{DDB7210C-CA95-423E-99A2-E463F94CA315}"/>
    <cellStyle name="Entrée 2 3 2 2" xfId="3333" xr:uid="{00000000-0005-0000-0000-0000FA0A0000}"/>
    <cellStyle name="Entrée 2 3 2 2 2" xfId="3703" xr:uid="{00000000-0005-0000-0000-0000FB0A0000}"/>
    <cellStyle name="Entrée 2 3 2 2 2 2" xfId="7185" xr:uid="{3CCB36E8-2B2B-4A50-867A-3AB05F3800E9}"/>
    <cellStyle name="Entrée 2 3 2 2 3" xfId="4591" xr:uid="{00000000-0005-0000-0000-0000FC0A0000}"/>
    <cellStyle name="Entrée 2 3 2 2 3 2" xfId="7765" xr:uid="{41D6F112-DB37-4CF8-80E2-33F93AE8B4A4}"/>
    <cellStyle name="Entrée 2 3 2 2 4" xfId="7014" xr:uid="{08B05B7C-6FA1-44AF-81ED-54250EAC8D92}"/>
    <cellStyle name="Entrée 2 3 2 3" xfId="2489" xr:uid="{00000000-0005-0000-0000-0000FD0A0000}"/>
    <cellStyle name="Entrée 2 3 2 3 2" xfId="4592" xr:uid="{00000000-0005-0000-0000-0000FE0A0000}"/>
    <cellStyle name="Entrée 2 3 2 3 2 2" xfId="7766" xr:uid="{ECB1367A-3E43-4346-8C63-E8D21E3C70D5}"/>
    <cellStyle name="Entrée 2 3 2 3 3" xfId="6798" xr:uid="{36ECFFE4-B5C7-4354-B0AA-6D9B2F98BE15}"/>
    <cellStyle name="Entrée 2 3 2 4" xfId="2050" xr:uid="{00000000-0005-0000-0000-0000FF0A0000}"/>
    <cellStyle name="Entrée 2 3 2 4 2" xfId="6619" xr:uid="{B21542A2-FF89-4223-8848-01564F9B99B2}"/>
    <cellStyle name="Entrée 2 3 2 5" xfId="2148" xr:uid="{00000000-0005-0000-0000-0000000B0000}"/>
    <cellStyle name="Entrée 2 3 2 5 2" xfId="6649" xr:uid="{081D809E-01F8-42D8-AB22-5343D92DD792}"/>
    <cellStyle name="Entrée 2 3 2 6" xfId="4590" xr:uid="{00000000-0005-0000-0000-0000010B0000}"/>
    <cellStyle name="Entrée 2 3 2 6 2" xfId="7764" xr:uid="{605ADC0F-A00D-43C8-A9A7-50CDA15D2C57}"/>
    <cellStyle name="Entrée 2 3 2 7" xfId="4745" xr:uid="{00000000-0005-0000-0000-0000020B0000}"/>
    <cellStyle name="Entrée 2 3 2 7 2" xfId="7828" xr:uid="{8392930B-781B-4216-949F-B0065C44C978}"/>
    <cellStyle name="Entrée 2 3 2 8" xfId="5497" xr:uid="{00000000-0005-0000-0000-0000030B0000}"/>
    <cellStyle name="Entrée 2 3 2 8 2" xfId="8403" xr:uid="{3B882BC7-7949-44D2-98CD-67B2AA710C70}"/>
    <cellStyle name="Entrée 2 3 2 9" xfId="5604" xr:uid="{00000000-0005-0000-0000-0000040B0000}"/>
    <cellStyle name="Entrée 2 3 2 9 2" xfId="8493" xr:uid="{E8EE1837-5021-44AC-8911-AE0E9AAA9664}"/>
    <cellStyle name="Entrée 2 3 3" xfId="1519" xr:uid="{00000000-0005-0000-0000-0000050B0000}"/>
    <cellStyle name="Entrée 2 3 3 2" xfId="3672" xr:uid="{00000000-0005-0000-0000-0000060B0000}"/>
    <cellStyle name="Entrée 2 3 3 2 2" xfId="7154" xr:uid="{524547A8-4C8C-451A-8339-53387A10C3FA}"/>
    <cellStyle name="Entrée 2 3 3 3" xfId="4593" xr:uid="{00000000-0005-0000-0000-0000070B0000}"/>
    <cellStyle name="Entrée 2 3 3 3 2" xfId="7767" xr:uid="{69E70A0A-FD44-47C4-AB18-F7D14F571969}"/>
    <cellStyle name="Entrée 2 3 3 4" xfId="6487" xr:uid="{512541AF-D08C-4DC1-977B-32AA18F81E1B}"/>
    <cellStyle name="Entrée 2 3 4" xfId="2488" xr:uid="{00000000-0005-0000-0000-0000080B0000}"/>
    <cellStyle name="Entrée 2 3 4 2" xfId="6797" xr:uid="{51FC0FB7-BA0F-431D-8425-A3A8AD7A6A8E}"/>
    <cellStyle name="Entrée 2 3 5" xfId="3244" xr:uid="{00000000-0005-0000-0000-0000090B0000}"/>
    <cellStyle name="Entrée 2 3 5 2" xfId="6990" xr:uid="{7581E16C-8CFB-496B-9FCE-ADFC6C2A6F5A}"/>
    <cellStyle name="Entrée 2 3 6" xfId="2055" xr:uid="{00000000-0005-0000-0000-00000A0B0000}"/>
    <cellStyle name="Entrée 2 3 6 2" xfId="6622" xr:uid="{73A59305-93B7-458D-9AA7-C300B13B83C2}"/>
    <cellStyle name="Entrée 2 3 7" xfId="4645" xr:uid="{00000000-0005-0000-0000-00000B0B0000}"/>
    <cellStyle name="Entrée 2 3 7 2" xfId="7803" xr:uid="{19EE55CF-3479-41D6-8E99-DBF0A4F2796A}"/>
    <cellStyle name="Entrée 2 3 8" xfId="5426" xr:uid="{00000000-0005-0000-0000-00000C0B0000}"/>
    <cellStyle name="Entrée 2 3 8 2" xfId="8343" xr:uid="{7F9ED416-7F8E-45CD-B049-9618C5496C80}"/>
    <cellStyle name="Entrée 2 3 9" xfId="651" xr:uid="{00000000-0005-0000-0000-00000D0B0000}"/>
    <cellStyle name="Entrée 2 3 9 2" xfId="6328" xr:uid="{763AC636-421F-4943-8D56-5B682CD85717}"/>
    <cellStyle name="Entrée 2 4" xfId="1520" xr:uid="{00000000-0005-0000-0000-00000E0B0000}"/>
    <cellStyle name="Entrée 2 4 10" xfId="5663" xr:uid="{00000000-0005-0000-0000-00000F0B0000}"/>
    <cellStyle name="Entrée 2 4 10 2" xfId="8532" xr:uid="{AB3EEE7A-BBD5-4FE5-A4B9-F9C1EB867954}"/>
    <cellStyle name="Entrée 2 4 11" xfId="6488" xr:uid="{5A8A473E-8B64-4F36-8616-600C0A98DEFC}"/>
    <cellStyle name="Entrée 2 4 2" xfId="1521" xr:uid="{00000000-0005-0000-0000-0000100B0000}"/>
    <cellStyle name="Entrée 2 4 2 10" xfId="5771" xr:uid="{00000000-0005-0000-0000-0000110B0000}"/>
    <cellStyle name="Entrée 2 4 2 10 2" xfId="8628" xr:uid="{534F7ECD-C8CF-4E2D-AB42-4A401FDDD1A2}"/>
    <cellStyle name="Entrée 2 4 2 11" xfId="5662" xr:uid="{00000000-0005-0000-0000-0000120B0000}"/>
    <cellStyle name="Entrée 2 4 2 11 2" xfId="8531" xr:uid="{E98289D7-E90D-4C94-B9E9-91E5036B3489}"/>
    <cellStyle name="Entrée 2 4 2 12" xfId="6489" xr:uid="{3112EF73-E404-4C6E-BD6A-79146A951F93}"/>
    <cellStyle name="Entrée 2 4 2 2" xfId="3334" xr:uid="{00000000-0005-0000-0000-0000130B0000}"/>
    <cellStyle name="Entrée 2 4 2 2 2" xfId="3704" xr:uid="{00000000-0005-0000-0000-0000140B0000}"/>
    <cellStyle name="Entrée 2 4 2 2 2 2" xfId="7186" xr:uid="{C7EFAE1B-AE40-425D-BDAD-FB4EBFC02C18}"/>
    <cellStyle name="Entrée 2 4 2 2 3" xfId="4595" xr:uid="{00000000-0005-0000-0000-0000150B0000}"/>
    <cellStyle name="Entrée 2 4 2 2 3 2" xfId="7769" xr:uid="{90544069-079C-4E04-B995-63B661DBC590}"/>
    <cellStyle name="Entrée 2 4 2 2 4" xfId="7015" xr:uid="{8A87DD37-2FA0-4D3A-A5FD-01B387956F4C}"/>
    <cellStyle name="Entrée 2 4 2 3" xfId="2491" xr:uid="{00000000-0005-0000-0000-0000160B0000}"/>
    <cellStyle name="Entrée 2 4 2 3 2" xfId="4596" xr:uid="{00000000-0005-0000-0000-0000170B0000}"/>
    <cellStyle name="Entrée 2 4 2 3 2 2" xfId="7770" xr:uid="{3A138300-FE42-46FA-8FA5-E01D2DB42EB8}"/>
    <cellStyle name="Entrée 2 4 2 3 3" xfId="6800" xr:uid="{2C5D9054-68BE-4F4D-BDE0-E1497C223A09}"/>
    <cellStyle name="Entrée 2 4 2 4" xfId="2205" xr:uid="{00000000-0005-0000-0000-0000180B0000}"/>
    <cellStyle name="Entrée 2 4 2 4 2" xfId="6669" xr:uid="{1363A4F8-B3D0-4961-A2B3-5FF4ABFC9E27}"/>
    <cellStyle name="Entrée 2 4 2 5" xfId="2229" xr:uid="{00000000-0005-0000-0000-0000190B0000}"/>
    <cellStyle name="Entrée 2 4 2 5 2" xfId="6681" xr:uid="{213BF6F9-6430-446C-A68E-FF41CD3FA224}"/>
    <cellStyle name="Entrée 2 4 2 6" xfId="4594" xr:uid="{00000000-0005-0000-0000-00001A0B0000}"/>
    <cellStyle name="Entrée 2 4 2 6 2" xfId="7768" xr:uid="{C73BA3D2-8489-47DC-87CF-F230F7F8FA4E}"/>
    <cellStyle name="Entrée 2 4 2 7" xfId="4744" xr:uid="{00000000-0005-0000-0000-00001B0B0000}"/>
    <cellStyle name="Entrée 2 4 2 7 2" xfId="7827" xr:uid="{9E8B4BD7-F1FF-429C-9E6E-BFD64078EF85}"/>
    <cellStyle name="Entrée 2 4 2 8" xfId="5499" xr:uid="{00000000-0005-0000-0000-00001C0B0000}"/>
    <cellStyle name="Entrée 2 4 2 8 2" xfId="8405" xr:uid="{ABFAF701-FD2C-4468-AD59-A2EA7343D30B}"/>
    <cellStyle name="Entrée 2 4 2 9" xfId="5603" xr:uid="{00000000-0005-0000-0000-00001D0B0000}"/>
    <cellStyle name="Entrée 2 4 2 9 2" xfId="8492" xr:uid="{D26FC7EE-03CF-4359-B5A7-A72409ED9D44}"/>
    <cellStyle name="Entrée 2 4 3" xfId="1522" xr:uid="{00000000-0005-0000-0000-00001E0B0000}"/>
    <cellStyle name="Entrée 2 4 3 2" xfId="3673" xr:uid="{00000000-0005-0000-0000-00001F0B0000}"/>
    <cellStyle name="Entrée 2 4 3 2 2" xfId="7155" xr:uid="{0873A753-58D3-429A-8C32-C4DFC1AE37CF}"/>
    <cellStyle name="Entrée 2 4 3 3" xfId="4597" xr:uid="{00000000-0005-0000-0000-0000200B0000}"/>
    <cellStyle name="Entrée 2 4 3 3 2" xfId="7771" xr:uid="{F8DC559B-3DA7-45E2-9FC9-5A66D6404C66}"/>
    <cellStyle name="Entrée 2 4 3 4" xfId="6490" xr:uid="{2065ACC2-987C-4A41-80AA-CC1FEE402A58}"/>
    <cellStyle name="Entrée 2 4 4" xfId="2490" xr:uid="{00000000-0005-0000-0000-0000210B0000}"/>
    <cellStyle name="Entrée 2 4 4 2" xfId="6799" xr:uid="{8F1EF03F-52BF-4CF5-8AEC-444F318FD0F8}"/>
    <cellStyle name="Entrée 2 4 5" xfId="2343" xr:uid="{00000000-0005-0000-0000-0000220B0000}"/>
    <cellStyle name="Entrée 2 4 5 2" xfId="6702" xr:uid="{46D5AAC7-C351-499C-B5B2-EE85633EF1B7}"/>
    <cellStyle name="Entrée 2 4 6" xfId="2236" xr:uid="{00000000-0005-0000-0000-0000230B0000}"/>
    <cellStyle name="Entrée 2 4 6 2" xfId="6682" xr:uid="{934B7E3C-3E38-4016-B047-20A538F62A6C}"/>
    <cellStyle name="Entrée 2 4 7" xfId="4902" xr:uid="{00000000-0005-0000-0000-0000240B0000}"/>
    <cellStyle name="Entrée 2 4 7 2" xfId="7913" xr:uid="{2082C431-E8EF-4510-941F-F7BBD2709380}"/>
    <cellStyle name="Entrée 2 4 8" xfId="5498" xr:uid="{00000000-0005-0000-0000-0000250B0000}"/>
    <cellStyle name="Entrée 2 4 8 2" xfId="8404" xr:uid="{3F81732C-23AA-460D-B9F0-8F47320DF186}"/>
    <cellStyle name="Entrée 2 4 9" xfId="5770" xr:uid="{00000000-0005-0000-0000-0000260B0000}"/>
    <cellStyle name="Entrée 2 4 9 2" xfId="8627" xr:uid="{78E19F27-CFC6-4076-9E18-C599D115E133}"/>
    <cellStyle name="Entrée 2 5" xfId="1523" xr:uid="{00000000-0005-0000-0000-0000270B0000}"/>
    <cellStyle name="Entrée 2 5 2" xfId="2492" xr:uid="{00000000-0005-0000-0000-0000280B0000}"/>
    <cellStyle name="Entrée 2 5 2 2" xfId="4598" xr:uid="{00000000-0005-0000-0000-0000290B0000}"/>
    <cellStyle name="Entrée 2 5 2 2 2" xfId="7772" xr:uid="{EBC5DF13-0408-4443-9B66-C6C99A114C29}"/>
    <cellStyle name="Entrée 2 5 2 3" xfId="5773" xr:uid="{00000000-0005-0000-0000-00002A0B0000}"/>
    <cellStyle name="Entrée 2 5 2 3 2" xfId="8630" xr:uid="{E9DCE1FE-23A8-416C-82F5-A0444D7083E8}"/>
    <cellStyle name="Entrée 2 5 2 4" xfId="5660" xr:uid="{00000000-0005-0000-0000-00002B0B0000}"/>
    <cellStyle name="Entrée 2 5 2 4 2" xfId="8529" xr:uid="{15491480-94AA-4E7B-956B-1BC29D23E6B7}"/>
    <cellStyle name="Entrée 2 5 2 5" xfId="6801" xr:uid="{9AA787FA-840B-40A0-8DDB-F7AB5F344F6D}"/>
    <cellStyle name="Entrée 2 5 3" xfId="2577" xr:uid="{00000000-0005-0000-0000-00002C0B0000}"/>
    <cellStyle name="Entrée 2 5 3 2" xfId="6826" xr:uid="{758E43D1-4B18-44DF-84A9-9BE27C81F8AA}"/>
    <cellStyle name="Entrée 2 5 4" xfId="2385" xr:uid="{00000000-0005-0000-0000-00002D0B0000}"/>
    <cellStyle name="Entrée 2 5 4 2" xfId="6722" xr:uid="{7EFFA02C-FC03-46CC-BB91-5774C0A51C99}"/>
    <cellStyle name="Entrée 2 5 5" xfId="5500" xr:uid="{00000000-0005-0000-0000-00002E0B0000}"/>
    <cellStyle name="Entrée 2 5 5 2" xfId="8406" xr:uid="{1EABB067-B87D-43F4-AF35-860A198DA217}"/>
    <cellStyle name="Entrée 2 5 6" xfId="5772" xr:uid="{00000000-0005-0000-0000-00002F0B0000}"/>
    <cellStyle name="Entrée 2 5 6 2" xfId="8629" xr:uid="{AD0EEA3C-0078-49E1-854F-02A9B0C2F9A0}"/>
    <cellStyle name="Entrée 2 5 7" xfId="5661" xr:uid="{00000000-0005-0000-0000-0000300B0000}"/>
    <cellStyle name="Entrée 2 5 7 2" xfId="8530" xr:uid="{545F8FF7-6904-4AD3-A98E-6D5E4A3F6B95}"/>
    <cellStyle name="Entrée 2 5 8" xfId="6491" xr:uid="{531B9E3B-B1A9-459A-BE03-CA13AFE105FF}"/>
    <cellStyle name="Entrée 2 6" xfId="1524" xr:uid="{00000000-0005-0000-0000-0000310B0000}"/>
    <cellStyle name="Entrée 2 6 2" xfId="2493" xr:uid="{00000000-0005-0000-0000-0000320B0000}"/>
    <cellStyle name="Entrée 2 6 2 2" xfId="6802" xr:uid="{8312B807-4D8B-49C8-B34C-0513D4FBBE91}"/>
    <cellStyle name="Entrée 2 6 3" xfId="4599" xr:uid="{00000000-0005-0000-0000-0000330B0000}"/>
    <cellStyle name="Entrée 2 6 3 2" xfId="7773" xr:uid="{17604CC9-DE4B-43F3-9612-C5587A7003F1}"/>
    <cellStyle name="Entrée 2 6 4" xfId="5501" xr:uid="{00000000-0005-0000-0000-0000340B0000}"/>
    <cellStyle name="Entrée 2 6 4 2" xfId="8407" xr:uid="{2A3AA634-9211-4247-AE9F-9B37F89D07A5}"/>
    <cellStyle name="Entrée 2 6 5" xfId="5774" xr:uid="{00000000-0005-0000-0000-0000350B0000}"/>
    <cellStyle name="Entrée 2 6 5 2" xfId="8631" xr:uid="{AA35E21F-4F90-49C1-B497-30F8C0439471}"/>
    <cellStyle name="Entrée 2 6 6" xfId="5659" xr:uid="{00000000-0005-0000-0000-0000360B0000}"/>
    <cellStyle name="Entrée 2 6 6 2" xfId="8528" xr:uid="{33629C1B-9E38-4162-B12B-5F87B2B75867}"/>
    <cellStyle name="Entrée 2 6 7" xfId="6492" xr:uid="{F2147095-CEFA-4B86-BBBC-26E221231CC5}"/>
    <cellStyle name="Entrée 2 7" xfId="1525" xr:uid="{00000000-0005-0000-0000-0000370B0000}"/>
    <cellStyle name="Entrée 2 7 2" xfId="1526" xr:uid="{00000000-0005-0000-0000-0000380B0000}"/>
    <cellStyle name="Entrée 2 7 2 2" xfId="2495" xr:uid="{00000000-0005-0000-0000-0000390B0000}"/>
    <cellStyle name="Entrée 2 7 2 2 2" xfId="6804" xr:uid="{7035F3D8-4132-4AC1-AA2F-B0D3F7426EC4}"/>
    <cellStyle name="Entrée 2 7 2 3" xfId="4601" xr:uid="{00000000-0005-0000-0000-00003A0B0000}"/>
    <cellStyle name="Entrée 2 7 2 3 2" xfId="7775" xr:uid="{C98443CB-6628-440B-B3F8-17747316E6DC}"/>
    <cellStyle name="Entrée 2 7 2 4" xfId="5503" xr:uid="{00000000-0005-0000-0000-00003B0B0000}"/>
    <cellStyle name="Entrée 2 7 2 4 2" xfId="8409" xr:uid="{54912E5D-BFFF-4EF6-86CA-57684259C367}"/>
    <cellStyle name="Entrée 2 7 2 5" xfId="6494" xr:uid="{454CC601-F838-4D66-BE06-F5E0B669418B}"/>
    <cellStyle name="Entrée 2 7 3" xfId="2494" xr:uid="{00000000-0005-0000-0000-00003C0B0000}"/>
    <cellStyle name="Entrée 2 7 3 2" xfId="6803" xr:uid="{03D4D19C-6CA3-4E88-B0C7-1FF731031046}"/>
    <cellStyle name="Entrée 2 7 4" xfId="4600" xr:uid="{00000000-0005-0000-0000-00003D0B0000}"/>
    <cellStyle name="Entrée 2 7 4 2" xfId="7774" xr:uid="{EFB6BB6A-4F25-4B35-AAB9-C8D18DB1CD26}"/>
    <cellStyle name="Entrée 2 7 5" xfId="5502" xr:uid="{00000000-0005-0000-0000-00003E0B0000}"/>
    <cellStyle name="Entrée 2 7 5 2" xfId="8408" xr:uid="{203BB5CB-930D-42E8-AAC1-2D90619EAB85}"/>
    <cellStyle name="Entrée 2 7 6" xfId="6493" xr:uid="{33FF8322-8519-4B82-843E-A537FDC1E0B7}"/>
    <cellStyle name="Entrée 2 8" xfId="1527" xr:uid="{00000000-0005-0000-0000-00003F0B0000}"/>
    <cellStyle name="Entrée 2 8 2" xfId="2496" xr:uid="{00000000-0005-0000-0000-0000400B0000}"/>
    <cellStyle name="Entrée 2 8 2 2" xfId="4603" xr:uid="{00000000-0005-0000-0000-0000410B0000}"/>
    <cellStyle name="Entrée 2 8 2 2 2" xfId="7777" xr:uid="{89757D46-17A7-4072-B589-89E49E1C26F2}"/>
    <cellStyle name="Entrée 2 8 2 3" xfId="6805" xr:uid="{C01ADA1F-381C-4F8A-B797-F2ED4108DB3B}"/>
    <cellStyle name="Entrée 2 8 3" xfId="4602" xr:uid="{00000000-0005-0000-0000-0000420B0000}"/>
    <cellStyle name="Entrée 2 8 3 2" xfId="7776" xr:uid="{3963AB5F-A0C4-46DF-8EC9-544281DB4FFA}"/>
    <cellStyle name="Entrée 2 8 4" xfId="5504" xr:uid="{00000000-0005-0000-0000-0000430B0000}"/>
    <cellStyle name="Entrée 2 8 4 2" xfId="8410" xr:uid="{FC5908AF-158B-41E1-9EF5-19174AE40619}"/>
    <cellStyle name="Entrée 2 8 5" xfId="6495" xr:uid="{CE5FB412-5BD8-4F4B-B5DB-27B034FA0B4F}"/>
    <cellStyle name="Entrée 2 9" xfId="1528" xr:uid="{00000000-0005-0000-0000-0000440B0000}"/>
    <cellStyle name="Entrée 2 9 2" xfId="4604" xr:uid="{00000000-0005-0000-0000-0000450B0000}"/>
    <cellStyle name="Entrée 2 9 2 2" xfId="7778" xr:uid="{EC54B648-E102-4B78-8502-A6FA66E083BC}"/>
    <cellStyle name="Entrée 2 9 3" xfId="6496" xr:uid="{D9593450-CD03-4E88-85B2-597790683673}"/>
    <cellStyle name="Entrée 3" xfId="319" xr:uid="{00000000-0005-0000-0000-0000460B0000}"/>
    <cellStyle name="Entrée 3 10" xfId="5427" xr:uid="{00000000-0005-0000-0000-0000470B0000}"/>
    <cellStyle name="Entrée 3 10 2" xfId="8344" xr:uid="{4B5B4581-B4C0-44B2-A876-D7EB2A547DAD}"/>
    <cellStyle name="Entrée 3 11" xfId="614" xr:uid="{00000000-0005-0000-0000-0000480B0000}"/>
    <cellStyle name="Entrée 3 11 2" xfId="6315" xr:uid="{63400C32-06B4-49E6-84EE-0FB259BAC9E8}"/>
    <cellStyle name="Entrée 3 12" xfId="5775" xr:uid="{00000000-0005-0000-0000-0000490B0000}"/>
    <cellStyle name="Entrée 3 12 2" xfId="8632" xr:uid="{45C094EC-21F6-48DF-8DC5-7E271E9F591F}"/>
    <cellStyle name="Entrée 3 13" xfId="5658" xr:uid="{00000000-0005-0000-0000-00004A0B0000}"/>
    <cellStyle name="Entrée 3 13 2" xfId="8527" xr:uid="{12A3F166-B665-4645-80F9-2A332048F3A7}"/>
    <cellStyle name="Entrée 3 14" xfId="6198" xr:uid="{49FAB9E4-B222-4ECD-919C-C12B04FA169B}"/>
    <cellStyle name="Entrée 3 2" xfId="1529" xr:uid="{00000000-0005-0000-0000-00004B0B0000}"/>
    <cellStyle name="Entrée 3 2 10" xfId="5602" xr:uid="{00000000-0005-0000-0000-00004C0B0000}"/>
    <cellStyle name="Entrée 3 2 10 2" xfId="8491" xr:uid="{770A34FB-145E-494F-891F-C5248DAD39C5}"/>
    <cellStyle name="Entrée 3 2 11" xfId="5776" xr:uid="{00000000-0005-0000-0000-00004D0B0000}"/>
    <cellStyle name="Entrée 3 2 11 2" xfId="8633" xr:uid="{2F38FF0A-B9C2-4087-AD6D-133378FA1FCA}"/>
    <cellStyle name="Entrée 3 2 12" xfId="5657" xr:uid="{00000000-0005-0000-0000-00004E0B0000}"/>
    <cellStyle name="Entrée 3 2 12 2" xfId="8526" xr:uid="{3BC39EB9-4FFC-4032-BA82-C7B9530D1A81}"/>
    <cellStyle name="Entrée 3 2 13" xfId="6497" xr:uid="{6812B338-6E1D-4C12-8482-C446DB68A816}"/>
    <cellStyle name="Entrée 3 2 2" xfId="1530" xr:uid="{00000000-0005-0000-0000-00004F0B0000}"/>
    <cellStyle name="Entrée 3 2 2 2" xfId="2499" xr:uid="{00000000-0005-0000-0000-0000500B0000}"/>
    <cellStyle name="Entrée 3 2 2 2 2" xfId="6808" xr:uid="{2BAE537C-C9B6-4B22-8A6D-38CFB161A443}"/>
    <cellStyle name="Entrée 3 2 2 3" xfId="3705" xr:uid="{00000000-0005-0000-0000-0000510B0000}"/>
    <cellStyle name="Entrée 3 2 2 3 2" xfId="7187" xr:uid="{49AE474F-E257-44D9-9B34-E6F91C12F0C9}"/>
    <cellStyle name="Entrée 3 2 2 4" xfId="4606" xr:uid="{00000000-0005-0000-0000-0000520B0000}"/>
    <cellStyle name="Entrée 3 2 2 4 2" xfId="7780" xr:uid="{A5B630DC-2618-415B-A20B-3B6768037119}"/>
    <cellStyle name="Entrée 3 2 2 5" xfId="5506" xr:uid="{00000000-0005-0000-0000-0000530B0000}"/>
    <cellStyle name="Entrée 3 2 2 5 2" xfId="8412" xr:uid="{2BF945AF-79C1-4D6F-8293-C26EBA95511C}"/>
    <cellStyle name="Entrée 3 2 2 6" xfId="6498" xr:uid="{206B1C2D-BDAA-4F35-9056-F615B18B574D}"/>
    <cellStyle name="Entrée 3 2 3" xfId="3335" xr:uid="{00000000-0005-0000-0000-0000540B0000}"/>
    <cellStyle name="Entrée 3 2 3 2" xfId="4607" xr:uid="{00000000-0005-0000-0000-0000550B0000}"/>
    <cellStyle name="Entrée 3 2 3 2 2" xfId="7781" xr:uid="{7390CD0F-BA7E-41DF-A090-F6980888315C}"/>
    <cellStyle name="Entrée 3 2 3 3" xfId="7016" xr:uid="{14224107-3CF9-418A-8C34-5B070AB02A9C}"/>
    <cellStyle name="Entrée 3 2 4" xfId="2498" xr:uid="{00000000-0005-0000-0000-0000560B0000}"/>
    <cellStyle name="Entrée 3 2 4 2" xfId="4605" xr:uid="{00000000-0005-0000-0000-0000570B0000}"/>
    <cellStyle name="Entrée 3 2 4 2 2" xfId="7779" xr:uid="{8348C632-B7DE-48C9-91A1-BE625D9AA187}"/>
    <cellStyle name="Entrée 3 2 4 3" xfId="6807" xr:uid="{7A25926C-1BD0-4349-89BB-BA144B712ADE}"/>
    <cellStyle name="Entrée 3 2 5" xfId="2204" xr:uid="{00000000-0005-0000-0000-0000580B0000}"/>
    <cellStyle name="Entrée 3 2 5 2" xfId="6668" xr:uid="{EF2F62A7-908F-47AC-9701-70597342B0CB}"/>
    <cellStyle name="Entrée 3 2 6" xfId="2035" xr:uid="{00000000-0005-0000-0000-0000590B0000}"/>
    <cellStyle name="Entrée 3 2 6 2" xfId="6607" xr:uid="{380F251D-2D8C-42A7-BA2C-C649C3B19872}"/>
    <cellStyle name="Entrée 3 2 7" xfId="2178" xr:uid="{00000000-0005-0000-0000-00005A0B0000}"/>
    <cellStyle name="Entrée 3 2 7 2" xfId="6653" xr:uid="{E91FED3A-E105-4D58-A73E-5B160B33A758}"/>
    <cellStyle name="Entrée 3 2 8" xfId="4130" xr:uid="{00000000-0005-0000-0000-00005B0B0000}"/>
    <cellStyle name="Entrée 3 2 8 2" xfId="7400" xr:uid="{17B41E3F-4EFF-429E-B615-150D195AF1D0}"/>
    <cellStyle name="Entrée 3 2 9" xfId="5505" xr:uid="{00000000-0005-0000-0000-00005C0B0000}"/>
    <cellStyle name="Entrée 3 2 9 2" xfId="8411" xr:uid="{46893FE8-7DDF-4E31-B6AD-843C84F8C641}"/>
    <cellStyle name="Entrée 3 3" xfId="1531" xr:uid="{00000000-0005-0000-0000-00005D0B0000}"/>
    <cellStyle name="Entrée 3 3 10" xfId="5601" xr:uid="{00000000-0005-0000-0000-00005E0B0000}"/>
    <cellStyle name="Entrée 3 3 10 2" xfId="8490" xr:uid="{081CB508-E982-4764-B046-A6F3BBEE7153}"/>
    <cellStyle name="Entrée 3 3 11" xfId="6499" xr:uid="{159E63D9-A61C-4FDF-A619-F3404AD8E055}"/>
    <cellStyle name="Entrée 3 3 2" xfId="1532" xr:uid="{00000000-0005-0000-0000-00005F0B0000}"/>
    <cellStyle name="Entrée 3 3 2 2" xfId="2501" xr:uid="{00000000-0005-0000-0000-0000600B0000}"/>
    <cellStyle name="Entrée 3 3 2 2 2" xfId="6810" xr:uid="{1CBC76C5-D2A6-4D37-B2E2-8730F6C9514E}"/>
    <cellStyle name="Entrée 3 3 2 3" xfId="3706" xr:uid="{00000000-0005-0000-0000-0000610B0000}"/>
    <cellStyle name="Entrée 3 3 2 3 2" xfId="7188" xr:uid="{CBB52C5F-B2FE-4D1C-8DB5-8C85508CE22B}"/>
    <cellStyle name="Entrée 3 3 2 4" xfId="4609" xr:uid="{00000000-0005-0000-0000-0000620B0000}"/>
    <cellStyle name="Entrée 3 3 2 4 2" xfId="7783" xr:uid="{F10787A4-C333-4B09-8BBD-85F779869C45}"/>
    <cellStyle name="Entrée 3 3 2 5" xfId="5508" xr:uid="{00000000-0005-0000-0000-0000630B0000}"/>
    <cellStyle name="Entrée 3 3 2 5 2" xfId="8414" xr:uid="{32C78E89-D347-438D-9119-20F9B6DC5D0F}"/>
    <cellStyle name="Entrée 3 3 2 6" xfId="6500" xr:uid="{DCB83670-FED5-4D8A-8AFE-2351878BDD79}"/>
    <cellStyle name="Entrée 3 3 3" xfId="3336" xr:uid="{00000000-0005-0000-0000-0000640B0000}"/>
    <cellStyle name="Entrée 3 3 3 2" xfId="4610" xr:uid="{00000000-0005-0000-0000-0000650B0000}"/>
    <cellStyle name="Entrée 3 3 3 2 2" xfId="7784" xr:uid="{04D22080-AC2A-491F-8D5F-AEF685063CBB}"/>
    <cellStyle name="Entrée 3 3 3 3" xfId="7017" xr:uid="{1A608995-0517-4A3C-A43C-017852DE6B1A}"/>
    <cellStyle name="Entrée 3 3 4" xfId="2500" xr:uid="{00000000-0005-0000-0000-0000660B0000}"/>
    <cellStyle name="Entrée 3 3 4 2" xfId="6809" xr:uid="{DCE46155-2713-45E8-8BA8-7297989D398D}"/>
    <cellStyle name="Entrée 3 3 5" xfId="2132" xr:uid="{00000000-0005-0000-0000-0000670B0000}"/>
    <cellStyle name="Entrée 3 3 5 2" xfId="6644" xr:uid="{6A366DBD-C63B-4212-B6D6-E9398B388980}"/>
    <cellStyle name="Entrée 3 3 6" xfId="2744" xr:uid="{00000000-0005-0000-0000-0000680B0000}"/>
    <cellStyle name="Entrée 3 3 6 2" xfId="6897" xr:uid="{D3DBEB9B-CB0A-4566-B63E-A331A342A10A}"/>
    <cellStyle name="Entrée 3 3 7" xfId="4608" xr:uid="{00000000-0005-0000-0000-0000690B0000}"/>
    <cellStyle name="Entrée 3 3 7 2" xfId="7782" xr:uid="{CCFE8D09-1640-4285-A5F0-CFAD59383899}"/>
    <cellStyle name="Entrée 3 3 8" xfId="4903" xr:uid="{00000000-0005-0000-0000-00006A0B0000}"/>
    <cellStyle name="Entrée 3 3 8 2" xfId="7914" xr:uid="{211CEE05-7D63-4452-93AA-816051046FE3}"/>
    <cellStyle name="Entrée 3 3 9" xfId="5507" xr:uid="{00000000-0005-0000-0000-00006B0B0000}"/>
    <cellStyle name="Entrée 3 3 9 2" xfId="8413" xr:uid="{B0B67DDE-1FC8-4D0C-9906-619E2B37BE33}"/>
    <cellStyle name="Entrée 3 4" xfId="1533" xr:uid="{00000000-0005-0000-0000-00006C0B0000}"/>
    <cellStyle name="Entrée 3 4 2" xfId="2502" xr:uid="{00000000-0005-0000-0000-00006D0B0000}"/>
    <cellStyle name="Entrée 3 4 2 2" xfId="4612" xr:uid="{00000000-0005-0000-0000-00006E0B0000}"/>
    <cellStyle name="Entrée 3 4 2 2 2" xfId="7786" xr:uid="{0C5A959F-15CF-4F2C-955B-FCA37D740450}"/>
    <cellStyle name="Entrée 3 4 2 3" xfId="6811" xr:uid="{E0399058-9F1D-46CD-8AF0-BC9D37133C93}"/>
    <cellStyle name="Entrée 3 4 3" xfId="2342" xr:uid="{00000000-0005-0000-0000-00006F0B0000}"/>
    <cellStyle name="Entrée 3 4 3 2" xfId="6701" xr:uid="{C5B3397A-EEE5-4E0C-A82E-9DDC9AD6F366}"/>
    <cellStyle name="Entrée 3 4 4" xfId="4611" xr:uid="{00000000-0005-0000-0000-0000700B0000}"/>
    <cellStyle name="Entrée 3 4 4 2" xfId="7785" xr:uid="{4E68A13A-6D57-4E8D-94EA-2D6DFBA03B20}"/>
    <cellStyle name="Entrée 3 4 5" xfId="5212" xr:uid="{00000000-0005-0000-0000-0000710B0000}"/>
    <cellStyle name="Entrée 3 4 5 2" xfId="8156" xr:uid="{E54B9D5B-CA94-4C7C-ABB3-5A9589DA2B5B}"/>
    <cellStyle name="Entrée 3 4 6" xfId="5509" xr:uid="{00000000-0005-0000-0000-0000720B0000}"/>
    <cellStyle name="Entrée 3 4 6 2" xfId="8415" xr:uid="{B12393EC-36FE-41E6-956E-C0E79583E2AA}"/>
    <cellStyle name="Entrée 3 4 7" xfId="6501" xr:uid="{CE68FFD0-FE61-4DD2-B7BA-6192E6561FA0}"/>
    <cellStyle name="Entrée 3 5" xfId="1534" xr:uid="{00000000-0005-0000-0000-0000730B0000}"/>
    <cellStyle name="Entrée 3 5 2" xfId="3898" xr:uid="{00000000-0005-0000-0000-0000740B0000}"/>
    <cellStyle name="Entrée 3 5 2 2" xfId="4614" xr:uid="{00000000-0005-0000-0000-0000750B0000}"/>
    <cellStyle name="Entrée 3 5 2 2 2" xfId="7788" xr:uid="{546429C5-3D06-47A6-8345-B1997449D68A}"/>
    <cellStyle name="Entrée 3 5 2 3" xfId="7252" xr:uid="{6335564E-AE57-4216-8264-32C32BB6199D}"/>
    <cellStyle name="Entrée 3 5 3" xfId="4613" xr:uid="{00000000-0005-0000-0000-0000760B0000}"/>
    <cellStyle name="Entrée 3 5 3 2" xfId="7787" xr:uid="{48E62AF0-26E4-40DD-A3BC-BAF26DE549BD}"/>
    <cellStyle name="Entrée 3 5 4" xfId="5208" xr:uid="{00000000-0005-0000-0000-0000770B0000}"/>
    <cellStyle name="Entrée 3 5 4 2" xfId="8153" xr:uid="{2BBA214F-D306-400D-8779-492627819253}"/>
    <cellStyle name="Entrée 3 5 5" xfId="6502" xr:uid="{08F2606D-C517-4532-A1A2-DD11321D2A41}"/>
    <cellStyle name="Entrée 3 6" xfId="2497" xr:uid="{00000000-0005-0000-0000-0000780B0000}"/>
    <cellStyle name="Entrée 3 6 2" xfId="6806" xr:uid="{39FB7D8C-38BC-49F1-B35E-E784EB131113}"/>
    <cellStyle name="Entrée 3 7" xfId="2641" xr:uid="{00000000-0005-0000-0000-0000790B0000}"/>
    <cellStyle name="Entrée 3 7 2" xfId="6847" xr:uid="{02FE61B0-E4C0-4F55-B15A-5F9B17012BB3}"/>
    <cellStyle name="Entrée 3 8" xfId="2249" xr:uid="{00000000-0005-0000-0000-00007A0B0000}"/>
    <cellStyle name="Entrée 3 8 2" xfId="6688" xr:uid="{FA718CD9-70DE-49F4-BB19-1FD872328AFF}"/>
    <cellStyle name="Entrée 3 9" xfId="4797" xr:uid="{00000000-0005-0000-0000-00007B0B0000}"/>
    <cellStyle name="Entrée 3 9 2" xfId="7863" xr:uid="{0CDD414D-F9EB-4173-AB10-86F2F6495707}"/>
    <cellStyle name="Entrée 4" xfId="320" xr:uid="{00000000-0005-0000-0000-00007C0B0000}"/>
    <cellStyle name="Entrée 4 10" xfId="649" xr:uid="{00000000-0005-0000-0000-00007D0B0000}"/>
    <cellStyle name="Entrée 4 10 2" xfId="6326" xr:uid="{618213B5-C4F8-41CB-B3B6-6D99811062F8}"/>
    <cellStyle name="Entrée 4 11" xfId="5777" xr:uid="{00000000-0005-0000-0000-00007E0B0000}"/>
    <cellStyle name="Entrée 4 11 2" xfId="8634" xr:uid="{DE4D3207-8194-4D7F-A4EF-AE64531FFD29}"/>
    <cellStyle name="Entrée 4 12" xfId="5656" xr:uid="{00000000-0005-0000-0000-00007F0B0000}"/>
    <cellStyle name="Entrée 4 12 2" xfId="8525" xr:uid="{F7FC2CEF-95BA-4923-9ECB-DAF501FCD23B}"/>
    <cellStyle name="Entrée 4 13" xfId="6199" xr:uid="{C7C54B36-2ACF-40FA-8F3C-0A230C9A3B0C}"/>
    <cellStyle name="Entrée 4 2" xfId="1535" xr:uid="{00000000-0005-0000-0000-0000800B0000}"/>
    <cellStyle name="Entrée 4 2 10" xfId="5778" xr:uid="{00000000-0005-0000-0000-0000810B0000}"/>
    <cellStyle name="Entrée 4 2 10 2" xfId="8635" xr:uid="{3D91A712-C0E4-42DD-AC06-FFE99E65B4BF}"/>
    <cellStyle name="Entrée 4 2 11" xfId="5655" xr:uid="{00000000-0005-0000-0000-0000820B0000}"/>
    <cellStyle name="Entrée 4 2 11 2" xfId="8524" xr:uid="{C339B0D0-89D6-4365-BFC0-4E200A030501}"/>
    <cellStyle name="Entrée 4 2 12" xfId="6503" xr:uid="{6E0F7664-9653-420D-9E12-4271B6075542}"/>
    <cellStyle name="Entrée 4 2 2" xfId="3337" xr:uid="{00000000-0005-0000-0000-0000830B0000}"/>
    <cellStyle name="Entrée 4 2 2 2" xfId="3707" xr:uid="{00000000-0005-0000-0000-0000840B0000}"/>
    <cellStyle name="Entrée 4 2 2 2 2" xfId="7189" xr:uid="{39756D4D-2B65-475D-A6B1-666BD0CA2272}"/>
    <cellStyle name="Entrée 4 2 2 3" xfId="4616" xr:uid="{00000000-0005-0000-0000-0000850B0000}"/>
    <cellStyle name="Entrée 4 2 2 3 2" xfId="7790" xr:uid="{6253A8CE-D249-49DD-AB38-FC6833BD38E8}"/>
    <cellStyle name="Entrée 4 2 2 4" xfId="7018" xr:uid="{0439CF8A-BDF3-49A9-B822-F19B00E11334}"/>
    <cellStyle name="Entrée 4 2 3" xfId="2504" xr:uid="{00000000-0005-0000-0000-0000860B0000}"/>
    <cellStyle name="Entrée 4 2 3 2" xfId="6813" xr:uid="{A715F1D3-57A9-4FA8-BCCC-2CB3E08EC814}"/>
    <cellStyle name="Entrée 4 2 4" xfId="2206" xr:uid="{00000000-0005-0000-0000-0000870B0000}"/>
    <cellStyle name="Entrée 4 2 4 2" xfId="6670" xr:uid="{24C939BD-E108-49EC-9BEF-C23BCD11D401}"/>
    <cellStyle name="Entrée 4 2 5" xfId="2125" xr:uid="{00000000-0005-0000-0000-0000880B0000}"/>
    <cellStyle name="Entrée 4 2 5 2" xfId="6639" xr:uid="{EF8E8583-EFB9-4EA3-86E1-CF7749E9D610}"/>
    <cellStyle name="Entrée 4 2 6" xfId="4615" xr:uid="{00000000-0005-0000-0000-0000890B0000}"/>
    <cellStyle name="Entrée 4 2 6 2" xfId="7789" xr:uid="{68157A59-747C-4272-B6E4-C0B90E036222}"/>
    <cellStyle name="Entrée 4 2 7" xfId="4904" xr:uid="{00000000-0005-0000-0000-00008A0B0000}"/>
    <cellStyle name="Entrée 4 2 7 2" xfId="7915" xr:uid="{E3F28341-04A8-4883-97C7-611CEB22264D}"/>
    <cellStyle name="Entrée 4 2 8" xfId="5510" xr:uid="{00000000-0005-0000-0000-00008B0B0000}"/>
    <cellStyle name="Entrée 4 2 8 2" xfId="8416" xr:uid="{1CB33F78-704F-4E14-BE7F-C91DA9241456}"/>
    <cellStyle name="Entrée 4 2 9" xfId="5600" xr:uid="{00000000-0005-0000-0000-00008C0B0000}"/>
    <cellStyle name="Entrée 4 2 9 2" xfId="8489" xr:uid="{D125E4AC-EB9A-4DB3-B456-C74222EAC45F}"/>
    <cellStyle name="Entrée 4 3" xfId="1536" xr:uid="{00000000-0005-0000-0000-00008D0B0000}"/>
    <cellStyle name="Entrée 4 3 2" xfId="2505" xr:uid="{00000000-0005-0000-0000-00008E0B0000}"/>
    <cellStyle name="Entrée 4 3 2 2" xfId="4618" xr:uid="{00000000-0005-0000-0000-00008F0B0000}"/>
    <cellStyle name="Entrée 4 3 2 2 2" xfId="7792" xr:uid="{5BB5DE88-F34D-4F88-98A7-2C1666868201}"/>
    <cellStyle name="Entrée 4 3 2 3" xfId="6814" xr:uid="{9AE7F19A-C071-44A8-A9CF-B6770BDD8125}"/>
    <cellStyle name="Entrée 4 3 3" xfId="2341" xr:uid="{00000000-0005-0000-0000-0000900B0000}"/>
    <cellStyle name="Entrée 4 3 3 2" xfId="6700" xr:uid="{E9209F22-E1AD-41BD-A1BD-5A34DF980738}"/>
    <cellStyle name="Entrée 4 3 4" xfId="4617" xr:uid="{00000000-0005-0000-0000-0000910B0000}"/>
    <cellStyle name="Entrée 4 3 4 2" xfId="7791" xr:uid="{C69A9A17-B4C3-45CF-8802-324F282A159B}"/>
    <cellStyle name="Entrée 4 3 5" xfId="5511" xr:uid="{00000000-0005-0000-0000-0000920B0000}"/>
    <cellStyle name="Entrée 4 3 5 2" xfId="8417" xr:uid="{DBAD4790-B20A-4786-9030-100D02228143}"/>
    <cellStyle name="Entrée 4 3 6" xfId="6504" xr:uid="{F98B5B3D-FC8A-4B48-8F8A-3F9BFBB92E49}"/>
    <cellStyle name="Entrée 4 4" xfId="1537" xr:uid="{00000000-0005-0000-0000-0000930B0000}"/>
    <cellStyle name="Entrée 4 4 2" xfId="4619" xr:uid="{00000000-0005-0000-0000-0000940B0000}"/>
    <cellStyle name="Entrée 4 4 2 2" xfId="7793" xr:uid="{7F4EE031-9D36-44F3-9508-C11F0930FD87}"/>
    <cellStyle name="Entrée 4 4 3" xfId="6505" xr:uid="{3D20F788-1F42-4BC1-95FE-DB991BA48A8A}"/>
    <cellStyle name="Entrée 4 5" xfId="2503" xr:uid="{00000000-0005-0000-0000-0000950B0000}"/>
    <cellStyle name="Entrée 4 5 2" xfId="6812" xr:uid="{9A0DC2BE-D481-47D0-B9F0-176051016C37}"/>
    <cellStyle name="Entrée 4 6" xfId="2640" xr:uid="{00000000-0005-0000-0000-0000960B0000}"/>
    <cellStyle name="Entrée 4 6 2" xfId="6846" xr:uid="{8702373D-A59A-4723-9E94-B3079627E274}"/>
    <cellStyle name="Entrée 4 7" xfId="2974" xr:uid="{00000000-0005-0000-0000-0000970B0000}"/>
    <cellStyle name="Entrée 4 7 2" xfId="6985" xr:uid="{D155F364-9CC5-4478-B0CE-26E3AA7C711C}"/>
    <cellStyle name="Entrée 4 8" xfId="4786" xr:uid="{00000000-0005-0000-0000-0000980B0000}"/>
    <cellStyle name="Entrée 4 8 2" xfId="7855" xr:uid="{978C0C7D-C0B2-42BC-B397-DFDB88F64856}"/>
    <cellStyle name="Entrée 4 9" xfId="5428" xr:uid="{00000000-0005-0000-0000-0000990B0000}"/>
    <cellStyle name="Entrée 4 9 2" xfId="8345" xr:uid="{D19F663C-F5CD-40C5-81E9-05E557E4721F}"/>
    <cellStyle name="Entrée 5" xfId="321" xr:uid="{00000000-0005-0000-0000-00009A0B0000}"/>
    <cellStyle name="Entrée 5 10" xfId="648" xr:uid="{00000000-0005-0000-0000-00009B0B0000}"/>
    <cellStyle name="Entrée 5 10 2" xfId="6325" xr:uid="{DF000908-C8F9-4B86-9DD3-248BC1CCA930}"/>
    <cellStyle name="Entrée 5 11" xfId="5779" xr:uid="{00000000-0005-0000-0000-00009C0B0000}"/>
    <cellStyle name="Entrée 5 11 2" xfId="8636" xr:uid="{1B710F99-BDEA-467C-9AD4-4AC5FA5FB771}"/>
    <cellStyle name="Entrée 5 12" xfId="5654" xr:uid="{00000000-0005-0000-0000-00009D0B0000}"/>
    <cellStyle name="Entrée 5 12 2" xfId="8523" xr:uid="{F93CD4A2-C383-43BE-986F-8055A8A0C733}"/>
    <cellStyle name="Entrée 5 13" xfId="6200" xr:uid="{A9A79934-FCDA-4D1B-8055-496BC41BE4DA}"/>
    <cellStyle name="Entrée 5 2" xfId="1538" xr:uid="{00000000-0005-0000-0000-00009E0B0000}"/>
    <cellStyle name="Entrée 5 2 10" xfId="5780" xr:uid="{00000000-0005-0000-0000-00009F0B0000}"/>
    <cellStyle name="Entrée 5 2 10 2" xfId="8637" xr:uid="{0FD10247-EF62-4A15-8AE3-BA5A4CCC5272}"/>
    <cellStyle name="Entrée 5 2 11" xfId="5653" xr:uid="{00000000-0005-0000-0000-0000A00B0000}"/>
    <cellStyle name="Entrée 5 2 11 2" xfId="8522" xr:uid="{725C2326-8C9A-4B17-A89B-A063101A095A}"/>
    <cellStyle name="Entrée 5 2 12" xfId="6506" xr:uid="{AD15C5C9-84D3-441E-98D3-8999DA53C795}"/>
    <cellStyle name="Entrée 5 2 2" xfId="3338" xr:uid="{00000000-0005-0000-0000-0000A10B0000}"/>
    <cellStyle name="Entrée 5 2 2 2" xfId="3708" xr:uid="{00000000-0005-0000-0000-0000A20B0000}"/>
    <cellStyle name="Entrée 5 2 2 2 2" xfId="7190" xr:uid="{8AF3DB91-383A-4414-BDE5-3AC1F145B9BD}"/>
    <cellStyle name="Entrée 5 2 2 3" xfId="4621" xr:uid="{00000000-0005-0000-0000-0000A30B0000}"/>
    <cellStyle name="Entrée 5 2 2 3 2" xfId="7795" xr:uid="{EDBA3D16-A7E3-461A-A451-6A8B56D78D82}"/>
    <cellStyle name="Entrée 5 2 2 4" xfId="7019" xr:uid="{08C360F3-64F8-4D10-96A1-B73A941F80F7}"/>
    <cellStyle name="Entrée 5 2 3" xfId="2507" xr:uid="{00000000-0005-0000-0000-0000A40B0000}"/>
    <cellStyle name="Entrée 5 2 3 2" xfId="6816" xr:uid="{844DE6E4-2C60-41D7-9062-416B0C83087F}"/>
    <cellStyle name="Entrée 5 2 4" xfId="2207" xr:uid="{00000000-0005-0000-0000-0000A50B0000}"/>
    <cellStyle name="Entrée 5 2 4 2" xfId="6671" xr:uid="{1C28160B-A3C5-44C6-8CCD-5138A33D575C}"/>
    <cellStyle name="Entrée 5 2 5" xfId="2266" xr:uid="{00000000-0005-0000-0000-0000A60B0000}"/>
    <cellStyle name="Entrée 5 2 5 2" xfId="6693" xr:uid="{827ADCCE-4ED4-41BB-8C37-F0DD9C886981}"/>
    <cellStyle name="Entrée 5 2 6" xfId="4620" xr:uid="{00000000-0005-0000-0000-0000A70B0000}"/>
    <cellStyle name="Entrée 5 2 6 2" xfId="7794" xr:uid="{EC5F9027-0967-4E8A-8919-EDBCD1EE3159}"/>
    <cellStyle name="Entrée 5 2 7" xfId="4905" xr:uid="{00000000-0005-0000-0000-0000A80B0000}"/>
    <cellStyle name="Entrée 5 2 7 2" xfId="7916" xr:uid="{50678FD5-9C1F-4A75-BE61-DA578DE7220C}"/>
    <cellStyle name="Entrée 5 2 8" xfId="5512" xr:uid="{00000000-0005-0000-0000-0000A90B0000}"/>
    <cellStyle name="Entrée 5 2 8 2" xfId="8418" xr:uid="{4E745868-F404-402F-A128-F42B00914527}"/>
    <cellStyle name="Entrée 5 2 9" xfId="5599" xr:uid="{00000000-0005-0000-0000-0000AA0B0000}"/>
    <cellStyle name="Entrée 5 2 9 2" xfId="8488" xr:uid="{F8DEBFEF-9872-4303-9444-0EA955E89346}"/>
    <cellStyle name="Entrée 5 3" xfId="1539" xr:uid="{00000000-0005-0000-0000-0000AB0B0000}"/>
    <cellStyle name="Entrée 5 3 2" xfId="2508" xr:uid="{00000000-0005-0000-0000-0000AC0B0000}"/>
    <cellStyle name="Entrée 5 3 2 2" xfId="4623" xr:uid="{00000000-0005-0000-0000-0000AD0B0000}"/>
    <cellStyle name="Entrée 5 3 2 2 2" xfId="7797" xr:uid="{1213C4E6-2F16-4C0D-9F15-19A70AA558C6}"/>
    <cellStyle name="Entrée 5 3 2 3" xfId="6817" xr:uid="{6E13C2A4-723E-484F-BD0E-EF8E6CDDC2DA}"/>
    <cellStyle name="Entrée 5 3 3" xfId="3240" xr:uid="{00000000-0005-0000-0000-0000AE0B0000}"/>
    <cellStyle name="Entrée 5 3 3 2" xfId="6989" xr:uid="{1F9FFD6C-E793-4074-8B58-6DBC65828D84}"/>
    <cellStyle name="Entrée 5 3 4" xfId="4622" xr:uid="{00000000-0005-0000-0000-0000AF0B0000}"/>
    <cellStyle name="Entrée 5 3 4 2" xfId="7796" xr:uid="{0CFF5997-5C72-4287-A839-3FF3D3222810}"/>
    <cellStyle name="Entrée 5 3 5" xfId="5513" xr:uid="{00000000-0005-0000-0000-0000B00B0000}"/>
    <cellStyle name="Entrée 5 3 5 2" xfId="8419" xr:uid="{B7A87225-7976-479C-90D2-18FE46E4BE43}"/>
    <cellStyle name="Entrée 5 3 6" xfId="6507" xr:uid="{F42503AE-7FF8-442C-A624-A8C0D664F366}"/>
    <cellStyle name="Entrée 5 4" xfId="1540" xr:uid="{00000000-0005-0000-0000-0000B10B0000}"/>
    <cellStyle name="Entrée 5 4 2" xfId="4624" xr:uid="{00000000-0005-0000-0000-0000B20B0000}"/>
    <cellStyle name="Entrée 5 4 2 2" xfId="7798" xr:uid="{6DBEF59B-D9D5-4204-B4AB-6F8941E6B26F}"/>
    <cellStyle name="Entrée 5 4 3" xfId="6508" xr:uid="{B077F646-F8E8-4167-97AB-24CA125A93CC}"/>
    <cellStyle name="Entrée 5 5" xfId="2506" xr:uid="{00000000-0005-0000-0000-0000B30B0000}"/>
    <cellStyle name="Entrée 5 5 2" xfId="6815" xr:uid="{31E013DC-4436-4490-99D2-41FDA771BFF8}"/>
    <cellStyle name="Entrée 5 6" xfId="2638" xr:uid="{00000000-0005-0000-0000-0000B40B0000}"/>
    <cellStyle name="Entrée 5 6 2" xfId="6845" xr:uid="{8A47FF1D-FF31-4D0F-AE8C-13352DD49EBC}"/>
    <cellStyle name="Entrée 5 7" xfId="2124" xr:uid="{00000000-0005-0000-0000-0000B50B0000}"/>
    <cellStyle name="Entrée 5 7 2" xfId="6638" xr:uid="{4CA80F19-61CD-4796-B79D-273C683AA21B}"/>
    <cellStyle name="Entrée 5 8" xfId="4798" xr:uid="{00000000-0005-0000-0000-0000B60B0000}"/>
    <cellStyle name="Entrée 5 8 2" xfId="7864" xr:uid="{35400954-EF80-4997-8723-2B31E9C548ED}"/>
    <cellStyle name="Entrée 5 9" xfId="5429" xr:uid="{00000000-0005-0000-0000-0000B70B0000}"/>
    <cellStyle name="Entrée 5 9 2" xfId="8346" xr:uid="{4ABF8D5F-D706-4C6C-8142-0E27A22AEC41}"/>
    <cellStyle name="Entrée 6" xfId="322" xr:uid="{00000000-0005-0000-0000-0000B80B0000}"/>
    <cellStyle name="Entrée 6 10" xfId="5781" xr:uid="{00000000-0005-0000-0000-0000B90B0000}"/>
    <cellStyle name="Entrée 6 10 2" xfId="8638" xr:uid="{7EFF66EB-0F25-4D6B-9AA0-1AF7069F9FC2}"/>
    <cellStyle name="Entrée 6 11" xfId="5652" xr:uid="{00000000-0005-0000-0000-0000BA0B0000}"/>
    <cellStyle name="Entrée 6 11 2" xfId="8521" xr:uid="{FCE9DE54-0945-4DE6-99F5-D07CF01A1178}"/>
    <cellStyle name="Entrée 6 12" xfId="6201" xr:uid="{9F0246D6-6CD7-431C-8351-F359101F5E42}"/>
    <cellStyle name="Entrée 6 2" xfId="779" xr:uid="{00000000-0005-0000-0000-0000BB0B0000}"/>
    <cellStyle name="Entrée 6 2 2" xfId="3340" xr:uid="{00000000-0005-0000-0000-0000BC0B0000}"/>
    <cellStyle name="Entrée 6 2 2 2" xfId="3710" xr:uid="{00000000-0005-0000-0000-0000BD0B0000}"/>
    <cellStyle name="Entrée 6 2 2 2 2" xfId="7192" xr:uid="{141AF71B-F70D-4DB2-A94C-5F71F4AE872F}"/>
    <cellStyle name="Entrée 6 2 2 3" xfId="4626" xr:uid="{00000000-0005-0000-0000-0000BE0B0000}"/>
    <cellStyle name="Entrée 6 2 2 3 2" xfId="7799" xr:uid="{E0B9F952-ED0F-449B-ADE0-433A86AB39C3}"/>
    <cellStyle name="Entrée 6 2 2 4" xfId="7021" xr:uid="{54E832B6-429F-4C0B-970D-51EB71254FDB}"/>
    <cellStyle name="Entrée 6 2 3" xfId="2210" xr:uid="{00000000-0005-0000-0000-0000BF0B0000}"/>
    <cellStyle name="Entrée 6 2 3 2" xfId="6673" xr:uid="{7E9CDA2E-F3FF-4A89-AC6F-2DA77A80DACE}"/>
    <cellStyle name="Entrée 6 2 4" xfId="2037" xr:uid="{00000000-0005-0000-0000-0000C00B0000}"/>
    <cellStyle name="Entrée 6 2 4 2" xfId="6609" xr:uid="{42AA0FFC-E144-4D11-8C7E-B7E404D33336}"/>
    <cellStyle name="Entrée 6 2 5" xfId="4625" xr:uid="{00000000-0005-0000-0000-0000C10B0000}"/>
    <cellStyle name="Entrée 6 2 6" xfId="4746" xr:uid="{00000000-0005-0000-0000-0000C20B0000}"/>
    <cellStyle name="Entrée 6 2 6 2" xfId="7829" xr:uid="{CFA9BD15-E365-4477-869A-BD4DAD7ED08F}"/>
    <cellStyle name="Entrée 6 2 7" xfId="5598" xr:uid="{00000000-0005-0000-0000-0000C30B0000}"/>
    <cellStyle name="Entrée 6 2 7 2" xfId="8487" xr:uid="{8CFE4DCB-7299-4ABE-A8A4-919DB4DADE1C}"/>
    <cellStyle name="Entrée 6 2 8" xfId="6422" xr:uid="{AC3732A9-9AE7-40F4-B8E3-763194818EC3}"/>
    <cellStyle name="Entrée 6 3" xfId="3339" xr:uid="{00000000-0005-0000-0000-0000C40B0000}"/>
    <cellStyle name="Entrée 6 3 2" xfId="3709" xr:uid="{00000000-0005-0000-0000-0000C50B0000}"/>
    <cellStyle name="Entrée 6 3 2 2" xfId="7191" xr:uid="{DD49C535-4E75-4B25-8BA7-9028A29DE63C}"/>
    <cellStyle name="Entrée 6 3 3" xfId="7020" xr:uid="{E2B6AF89-4781-4A73-A14A-AD9B2D717CFA}"/>
    <cellStyle name="Entrée 6 4" xfId="2509" xr:uid="{00000000-0005-0000-0000-0000C60B0000}"/>
    <cellStyle name="Entrée 6 5" xfId="2209" xr:uid="{00000000-0005-0000-0000-0000C70B0000}"/>
    <cellStyle name="Entrée 6 5 2" xfId="6672" xr:uid="{8D531C6B-5026-477D-A53A-935EDD40EFA7}"/>
    <cellStyle name="Entrée 6 6" xfId="2036" xr:uid="{00000000-0005-0000-0000-0000C80B0000}"/>
    <cellStyle name="Entrée 6 6 2" xfId="6608" xr:uid="{E932A9BB-27FC-48C2-8AC5-D5DCB2573144}"/>
    <cellStyle name="Entrée 6 7" xfId="4906" xr:uid="{00000000-0005-0000-0000-0000C90B0000}"/>
    <cellStyle name="Entrée 6 7 2" xfId="7917" xr:uid="{63EA268E-A9A8-435F-86C9-3EF816257BEA}"/>
    <cellStyle name="Entrée 6 8" xfId="5430" xr:uid="{00000000-0005-0000-0000-0000CA0B0000}"/>
    <cellStyle name="Entrée 6 8 2" xfId="8347" xr:uid="{F6D7CDAF-229E-4C67-AAE5-08DD1E6B9161}"/>
    <cellStyle name="Entrée 6 9" xfId="591" xr:uid="{00000000-0005-0000-0000-0000CB0B0000}"/>
    <cellStyle name="Entrée 6 9 2" xfId="6307" xr:uid="{90C874DB-7198-47B5-853C-3FE01680A6D7}"/>
    <cellStyle name="Entrée 7" xfId="1515" xr:uid="{00000000-0005-0000-0000-0000CC0B0000}"/>
    <cellStyle name="Entrée 7 2" xfId="2079" xr:uid="{00000000-0005-0000-0000-0000CD0B0000}"/>
    <cellStyle name="Entrée 7 2 2" xfId="3711" xr:uid="{00000000-0005-0000-0000-0000CE0B0000}"/>
    <cellStyle name="Entrée 7 2 2 2" xfId="7193" xr:uid="{EA00BA5C-2BE1-4994-94DF-3E231C5A23DC}"/>
    <cellStyle name="Entrée 7 2 3" xfId="6631" xr:uid="{F4E805B7-32B0-4A25-B691-B5924C167F8C}"/>
    <cellStyle name="Entrée 7 3" xfId="3341" xr:uid="{00000000-0005-0000-0000-0000CF0B0000}"/>
    <cellStyle name="Entrée 7 3 2" xfId="7022" xr:uid="{8F9646B7-8B0F-46CD-8254-382980638327}"/>
    <cellStyle name="Entrée 7 4" xfId="2211" xr:uid="{00000000-0005-0000-0000-0000D00B0000}"/>
    <cellStyle name="Entrée 7 4 2" xfId="6674" xr:uid="{B75BC3D6-0CDB-4383-A833-DDDA1A25C9EA}"/>
    <cellStyle name="Entrée 7 5" xfId="2701" xr:uid="{00000000-0005-0000-0000-0000D10B0000}"/>
    <cellStyle name="Entrée 7 5 2" xfId="6894" xr:uid="{D4698862-8D3B-4741-9C39-32CF42CA2E6E}"/>
    <cellStyle name="Entrée 7 6" xfId="5045" xr:uid="{00000000-0005-0000-0000-0000D20B0000}"/>
    <cellStyle name="Entrée 7 6 2" xfId="8007" xr:uid="{2437B7F7-FE7D-469C-9F4D-605C783EE167}"/>
    <cellStyle name="Entrée 7 7" xfId="5567" xr:uid="{00000000-0005-0000-0000-0000D30B0000}"/>
    <cellStyle name="Entrée 7 7 2" xfId="8461" xr:uid="{9F911CE3-F491-479D-B676-E95B23170414}"/>
    <cellStyle name="Entrée 7 8" xfId="5782" xr:uid="{00000000-0005-0000-0000-0000D40B0000}"/>
    <cellStyle name="Entrée 7 8 2" xfId="8639" xr:uid="{BEC6F705-9723-45B2-91EF-74C9ABADB617}"/>
    <cellStyle name="Entrée 7 9" xfId="5651" xr:uid="{00000000-0005-0000-0000-0000D50B0000}"/>
    <cellStyle name="Entrée 7 9 2" xfId="8520" xr:uid="{92ACCEC6-2B68-4C80-9F95-B36058201691}"/>
    <cellStyle name="Entrée 8" xfId="3342" xr:uid="{00000000-0005-0000-0000-0000D60B0000}"/>
    <cellStyle name="Entrée 8 2" xfId="3712" xr:uid="{00000000-0005-0000-0000-0000D70B0000}"/>
    <cellStyle name="Entrée 8 2 2" xfId="7194" xr:uid="{C54ABE71-EBCB-487A-B48D-0F91B50CBEB0}"/>
    <cellStyle name="Entrée 8 3" xfId="2051" xr:uid="{00000000-0005-0000-0000-0000D80B0000}"/>
    <cellStyle name="Entrée 8 3 2" xfId="6620" xr:uid="{8230CD4F-D2AB-45A6-8182-5D9B8DAFAE62}"/>
    <cellStyle name="Entrée 8 4" xfId="2380" xr:uid="{00000000-0005-0000-0000-0000D90B0000}"/>
    <cellStyle name="Entrée 8 4 2" xfId="6719" xr:uid="{E5A35C75-4113-4855-92EA-0A636C64A571}"/>
    <cellStyle name="Entrée 8 5" xfId="4092" xr:uid="{00000000-0005-0000-0000-0000DA0B0000}"/>
    <cellStyle name="Entrée 8 5 2" xfId="7383" xr:uid="{C7A78407-64F7-49EE-8FCC-C64A1CC15BA3}"/>
    <cellStyle name="Entrée 8 6" xfId="5597" xr:uid="{00000000-0005-0000-0000-0000DB0B0000}"/>
    <cellStyle name="Entrée 8 6 2" xfId="8486" xr:uid="{728437DD-7B9B-4055-A3E2-B74474F09464}"/>
    <cellStyle name="Entrée 8 7" xfId="7023" xr:uid="{D47A728E-1C53-42D9-A8D3-D0C73C3B25E7}"/>
    <cellStyle name="Entrée 9" xfId="3563" xr:uid="{00000000-0005-0000-0000-0000DC0B0000}"/>
    <cellStyle name="Entrée 9 2" xfId="3739" xr:uid="{00000000-0005-0000-0000-0000DD0B0000}"/>
    <cellStyle name="Entrée 9 2 2" xfId="7220" xr:uid="{F96BBB0F-779B-45E3-A285-A17EE82228AB}"/>
    <cellStyle name="Entrée 9 3" xfId="3654" xr:uid="{00000000-0005-0000-0000-0000DE0B0000}"/>
    <cellStyle name="Entrée 9 3 2" xfId="7140" xr:uid="{8CCEFD0A-3E5A-4AEB-BDD5-B12DBDAB5771}"/>
    <cellStyle name="Entrée 9 4" xfId="4627" xr:uid="{00000000-0005-0000-0000-0000DF0B0000}"/>
    <cellStyle name="Entrée 9 4 2" xfId="7800" xr:uid="{5B58A980-4838-49EC-91F5-6463DFF88F0E}"/>
    <cellStyle name="Entrée 9 5" xfId="4117" xr:uid="{00000000-0005-0000-0000-0000E00B0000}"/>
    <cellStyle name="Entrée 9 5 2" xfId="7390" xr:uid="{BE995575-B178-472B-B5AB-DE5D2E24CF89}"/>
    <cellStyle name="Entrée 9 6" xfId="5571" xr:uid="{00000000-0005-0000-0000-0000E10B0000}"/>
    <cellStyle name="Entrée 9 6 2" xfId="8465" xr:uid="{CF945B16-D3EE-452F-9BA5-E2CFAAC3BD85}"/>
    <cellStyle name="Entrée 9 7" xfId="7100" xr:uid="{566E062F-26E4-44F2-B4A3-A8CD9FE40BFA}"/>
    <cellStyle name="Euro" xfId="323" xr:uid="{00000000-0005-0000-0000-0000E20B0000}"/>
    <cellStyle name="Euro 10" xfId="1541" xr:uid="{00000000-0005-0000-0000-0000E30B0000}"/>
    <cellStyle name="Euro 10 2" xfId="1542" xr:uid="{00000000-0005-0000-0000-0000E40B0000}"/>
    <cellStyle name="Euro 10 2 2" xfId="3781" xr:uid="{00000000-0005-0000-0000-0000E50B0000}"/>
    <cellStyle name="Euro 10 3" xfId="1543" xr:uid="{00000000-0005-0000-0000-0000E60B0000}"/>
    <cellStyle name="Euro 10 4" xfId="3343" xr:uid="{00000000-0005-0000-0000-0000E70B0000}"/>
    <cellStyle name="Euro 11" xfId="1544" xr:uid="{00000000-0005-0000-0000-0000E80B0000}"/>
    <cellStyle name="Euro 11 2" xfId="3344" xr:uid="{00000000-0005-0000-0000-0000E90B0000}"/>
    <cellStyle name="Euro 11 3" xfId="4628" xr:uid="{00000000-0005-0000-0000-0000EA0B0000}"/>
    <cellStyle name="Euro 12" xfId="1545" xr:uid="{00000000-0005-0000-0000-0000EB0B0000}"/>
    <cellStyle name="Euro 12 2" xfId="3540" xr:uid="{00000000-0005-0000-0000-0000EC0B0000}"/>
    <cellStyle name="Euro 12 2 2" xfId="4630" xr:uid="{00000000-0005-0000-0000-0000ED0B0000}"/>
    <cellStyle name="Euro 12 2 3" xfId="4629" xr:uid="{00000000-0005-0000-0000-0000EE0B0000}"/>
    <cellStyle name="Euro 12 3" xfId="2512" xr:uid="{00000000-0005-0000-0000-0000EF0B0000}"/>
    <cellStyle name="Euro 12 3 2" xfId="4631" xr:uid="{00000000-0005-0000-0000-0000F00B0000}"/>
    <cellStyle name="Euro 13" xfId="1546" xr:uid="{00000000-0005-0000-0000-0000F10B0000}"/>
    <cellStyle name="Euro 13 2" xfId="2893" xr:uid="{00000000-0005-0000-0000-0000F20B0000}"/>
    <cellStyle name="Euro 13 2 2" xfId="4632" xr:uid="{00000000-0005-0000-0000-0000F30B0000}"/>
    <cellStyle name="Euro 13 3" xfId="4079" xr:uid="{00000000-0005-0000-0000-0000F40B0000}"/>
    <cellStyle name="Euro 14" xfId="2575" xr:uid="{00000000-0005-0000-0000-0000F50B0000}"/>
    <cellStyle name="Euro 15" xfId="592" xr:uid="{00000000-0005-0000-0000-0000F60B0000}"/>
    <cellStyle name="Euro 2" xfId="324" xr:uid="{00000000-0005-0000-0000-0000F70B0000}"/>
    <cellStyle name="Euro 2 10" xfId="5783" xr:uid="{00000000-0005-0000-0000-0000F80B0000}"/>
    <cellStyle name="Euro 2 10 2" xfId="8640" xr:uid="{772F0807-625A-41EA-82E5-87DECBD0D7D3}"/>
    <cellStyle name="Euro 2 2" xfId="325" xr:uid="{00000000-0005-0000-0000-0000F90B0000}"/>
    <cellStyle name="Euro 2 2 2" xfId="1547" xr:uid="{00000000-0005-0000-0000-0000FA0B0000}"/>
    <cellStyle name="Euro 2 2 2 2" xfId="1548" xr:uid="{00000000-0005-0000-0000-0000FB0B0000}"/>
    <cellStyle name="Euro 2 2 2 2 2" xfId="1549" xr:uid="{00000000-0005-0000-0000-0000FC0B0000}"/>
    <cellStyle name="Euro 2 2 2 2 2 2" xfId="1550" xr:uid="{00000000-0005-0000-0000-0000FD0B0000}"/>
    <cellStyle name="Euro 2 2 2 2 2 2 2" xfId="1551" xr:uid="{00000000-0005-0000-0000-0000FE0B0000}"/>
    <cellStyle name="Euro 2 2 2 2 3" xfId="1552" xr:uid="{00000000-0005-0000-0000-0000FF0B0000}"/>
    <cellStyle name="Euro 2 2 2 2 4" xfId="1553" xr:uid="{00000000-0005-0000-0000-0000000C0000}"/>
    <cellStyle name="Euro 2 2 2 2 5" xfId="3783" xr:uid="{00000000-0005-0000-0000-0000010C0000}"/>
    <cellStyle name="Euro 2 2 2 3" xfId="1554" xr:uid="{00000000-0005-0000-0000-0000020C0000}"/>
    <cellStyle name="Euro 2 2 2 3 2" xfId="1555" xr:uid="{00000000-0005-0000-0000-0000030C0000}"/>
    <cellStyle name="Euro 2 2 2 4" xfId="1556" xr:uid="{00000000-0005-0000-0000-0000040C0000}"/>
    <cellStyle name="Euro 2 2 2 5" xfId="2516" xr:uid="{00000000-0005-0000-0000-0000050C0000}"/>
    <cellStyle name="Euro 2 2 2 6" xfId="2513" xr:uid="{00000000-0005-0000-0000-0000060C0000}"/>
    <cellStyle name="Euro 2 2 2 7" xfId="4633" xr:uid="{00000000-0005-0000-0000-0000070C0000}"/>
    <cellStyle name="Euro 2 2 2 8" xfId="5785" xr:uid="{00000000-0005-0000-0000-0000080C0000}"/>
    <cellStyle name="Euro 2 2 3" xfId="1557" xr:uid="{00000000-0005-0000-0000-0000090C0000}"/>
    <cellStyle name="Euro 2 2 3 2" xfId="1558" xr:uid="{00000000-0005-0000-0000-00000A0C0000}"/>
    <cellStyle name="Euro 2 2 3 2 2" xfId="3784" xr:uid="{00000000-0005-0000-0000-00000B0C0000}"/>
    <cellStyle name="Euro 2 2 3 3" xfId="3345" xr:uid="{00000000-0005-0000-0000-00000C0C0000}"/>
    <cellStyle name="Euro 2 2 3 4" xfId="4634" xr:uid="{00000000-0005-0000-0000-00000D0C0000}"/>
    <cellStyle name="Euro 2 2 4" xfId="1559" xr:uid="{00000000-0005-0000-0000-00000E0C0000}"/>
    <cellStyle name="Euro 2 2 4 2" xfId="3346" xr:uid="{00000000-0005-0000-0000-00000F0C0000}"/>
    <cellStyle name="Euro 2 2 4 3" xfId="2400" xr:uid="{00000000-0005-0000-0000-0000100C0000}"/>
    <cellStyle name="Euro 2 2 4 3 2" xfId="4636" xr:uid="{00000000-0005-0000-0000-0000110C0000}"/>
    <cellStyle name="Euro 2 2 5" xfId="1560" xr:uid="{00000000-0005-0000-0000-0000120C0000}"/>
    <cellStyle name="Euro 2 2 5 2" xfId="2519" xr:uid="{00000000-0005-0000-0000-0000130C0000}"/>
    <cellStyle name="Euro 2 2 6" xfId="1561" xr:uid="{00000000-0005-0000-0000-0000140C0000}"/>
    <cellStyle name="Euro 2 2 7" xfId="646" xr:uid="{00000000-0005-0000-0000-0000150C0000}"/>
    <cellStyle name="Euro 2 2 8" xfId="5784" xr:uid="{00000000-0005-0000-0000-0000160C0000}"/>
    <cellStyle name="Euro 2 2 8 2" xfId="8641" xr:uid="{3616CC48-8228-4E6B-9805-99A7C64CE9E7}"/>
    <cellStyle name="Euro 2 3" xfId="326" xr:uid="{00000000-0005-0000-0000-0000170C0000}"/>
    <cellStyle name="Euro 2 3 2" xfId="1562" xr:uid="{00000000-0005-0000-0000-0000180C0000}"/>
    <cellStyle name="Euro 2 3 2 2" xfId="2522" xr:uid="{00000000-0005-0000-0000-0000190C0000}"/>
    <cellStyle name="Euro 2 3 2 2 2" xfId="3785" xr:uid="{00000000-0005-0000-0000-00001A0C0000}"/>
    <cellStyle name="Euro 2 3 2 3" xfId="3347" xr:uid="{00000000-0005-0000-0000-00001B0C0000}"/>
    <cellStyle name="Euro 2 3 2 3 2" xfId="4637" xr:uid="{00000000-0005-0000-0000-00001C0C0000}"/>
    <cellStyle name="Euro 2 3 2 4" xfId="2521" xr:uid="{00000000-0005-0000-0000-00001D0C0000}"/>
    <cellStyle name="Euro 2 3 2 4 2" xfId="4638" xr:uid="{00000000-0005-0000-0000-00001E0C0000}"/>
    <cellStyle name="Euro 2 3 3" xfId="1563" xr:uid="{00000000-0005-0000-0000-00001F0C0000}"/>
    <cellStyle name="Euro 2 3 3 2" xfId="2523" xr:uid="{00000000-0005-0000-0000-0000200C0000}"/>
    <cellStyle name="Euro 2 3 4" xfId="1564" xr:uid="{00000000-0005-0000-0000-0000210C0000}"/>
    <cellStyle name="Euro 2 3 5" xfId="2520" xr:uid="{00000000-0005-0000-0000-0000220C0000}"/>
    <cellStyle name="Euro 2 3 6" xfId="647" xr:uid="{00000000-0005-0000-0000-0000230C0000}"/>
    <cellStyle name="Euro 2 4" xfId="1565" xr:uid="{00000000-0005-0000-0000-0000240C0000}"/>
    <cellStyle name="Euro 2 4 2" xfId="1566" xr:uid="{00000000-0005-0000-0000-0000250C0000}"/>
    <cellStyle name="Euro 2 4 2 2" xfId="3348" xr:uid="{00000000-0005-0000-0000-0000260C0000}"/>
    <cellStyle name="Euro 2 4 2 3" xfId="4639" xr:uid="{00000000-0005-0000-0000-0000270C0000}"/>
    <cellStyle name="Euro 2 4 2 4" xfId="5209" xr:uid="{00000000-0005-0000-0000-0000280C0000}"/>
    <cellStyle name="Euro 2 4 3" xfId="1567" xr:uid="{00000000-0005-0000-0000-0000290C0000}"/>
    <cellStyle name="Euro 2 4 3 2" xfId="2525" xr:uid="{00000000-0005-0000-0000-00002A0C0000}"/>
    <cellStyle name="Euro 2 4 4" xfId="1568" xr:uid="{00000000-0005-0000-0000-00002B0C0000}"/>
    <cellStyle name="Euro 2 5" xfId="1569" xr:uid="{00000000-0005-0000-0000-00002C0C0000}"/>
    <cellStyle name="Euro 2 5 2" xfId="3349" xr:uid="{00000000-0005-0000-0000-00002D0C0000}"/>
    <cellStyle name="Euro 2 5 3" xfId="4641" xr:uid="{00000000-0005-0000-0000-00002E0C0000}"/>
    <cellStyle name="Euro 2 5 4" xfId="4640" xr:uid="{00000000-0005-0000-0000-00002F0C0000}"/>
    <cellStyle name="Euro 2 5 5" xfId="5786" xr:uid="{00000000-0005-0000-0000-0000300C0000}"/>
    <cellStyle name="Euro 2 6" xfId="1570" xr:uid="{00000000-0005-0000-0000-0000310C0000}"/>
    <cellStyle name="Euro 2 6 2" xfId="3541" xr:uid="{00000000-0005-0000-0000-0000320C0000}"/>
    <cellStyle name="Euro 2 6 2 2" xfId="4643" xr:uid="{00000000-0005-0000-0000-0000330C0000}"/>
    <cellStyle name="Euro 2 6 3" xfId="2527" xr:uid="{00000000-0005-0000-0000-0000340C0000}"/>
    <cellStyle name="Euro 2 6 3 2" xfId="4644" xr:uid="{00000000-0005-0000-0000-0000350C0000}"/>
    <cellStyle name="Euro 2 6 4" xfId="5787" xr:uid="{00000000-0005-0000-0000-0000360C0000}"/>
    <cellStyle name="Euro 2 7" xfId="1571" xr:uid="{00000000-0005-0000-0000-0000370C0000}"/>
    <cellStyle name="Euro 2 7 2" xfId="2894" xr:uid="{00000000-0005-0000-0000-0000380C0000}"/>
    <cellStyle name="Euro 2 8" xfId="3599" xr:uid="{00000000-0005-0000-0000-0000390C0000}"/>
    <cellStyle name="Euro 2 8 2" xfId="2574" xr:uid="{00000000-0005-0000-0000-00003A0C0000}"/>
    <cellStyle name="Euro 2 9" xfId="617" xr:uid="{00000000-0005-0000-0000-00003B0C0000}"/>
    <cellStyle name="Euro 3" xfId="327" xr:uid="{00000000-0005-0000-0000-00003C0C0000}"/>
    <cellStyle name="Euro 3 2" xfId="328" xr:uid="{00000000-0005-0000-0000-00003D0C0000}"/>
    <cellStyle name="Euro 3 2 2" xfId="1572" xr:uid="{00000000-0005-0000-0000-00003E0C0000}"/>
    <cellStyle name="Euro 3 2 2 2" xfId="1573" xr:uid="{00000000-0005-0000-0000-00003F0C0000}"/>
    <cellStyle name="Euro 3 2 2 2 2" xfId="3787" xr:uid="{00000000-0005-0000-0000-0000400C0000}"/>
    <cellStyle name="Euro 3 2 2 3" xfId="3350" xr:uid="{00000000-0005-0000-0000-0000410C0000}"/>
    <cellStyle name="Euro 3 2 2 4" xfId="5213" xr:uid="{00000000-0005-0000-0000-0000420C0000}"/>
    <cellStyle name="Euro 3 2 3" xfId="1574" xr:uid="{00000000-0005-0000-0000-0000430C0000}"/>
    <cellStyle name="Euro 3 2 3 2" xfId="2528" xr:uid="{00000000-0005-0000-0000-0000440C0000}"/>
    <cellStyle name="Euro 3 2 4" xfId="1575" xr:uid="{00000000-0005-0000-0000-0000450C0000}"/>
    <cellStyle name="Euro 3 2 5" xfId="2636" xr:uid="{00000000-0005-0000-0000-0000460C0000}"/>
    <cellStyle name="Euro 3 2 6" xfId="645" xr:uid="{00000000-0005-0000-0000-0000470C0000}"/>
    <cellStyle name="Euro 3 3" xfId="329" xr:uid="{00000000-0005-0000-0000-0000480C0000}"/>
    <cellStyle name="Euro 3 3 2" xfId="1576" xr:uid="{00000000-0005-0000-0000-0000490C0000}"/>
    <cellStyle name="Euro 3 3 2 2" xfId="3351" xr:uid="{00000000-0005-0000-0000-00004A0C0000}"/>
    <cellStyle name="Euro 3 3 2 3" xfId="4647" xr:uid="{00000000-0005-0000-0000-00004B0C0000}"/>
    <cellStyle name="Euro 3 3 3" xfId="1577" xr:uid="{00000000-0005-0000-0000-00004C0C0000}"/>
    <cellStyle name="Euro 3 3 3 2" xfId="2181" xr:uid="{00000000-0005-0000-0000-00004D0C0000}"/>
    <cellStyle name="Euro 3 3 4" xfId="2529" xr:uid="{00000000-0005-0000-0000-00004E0C0000}"/>
    <cellStyle name="Euro 3 3 5" xfId="685" xr:uid="{00000000-0005-0000-0000-00004F0C0000}"/>
    <cellStyle name="Euro 3 4" xfId="330" xr:uid="{00000000-0005-0000-0000-0000500C0000}"/>
    <cellStyle name="Euro 3 4 2" xfId="1578" xr:uid="{00000000-0005-0000-0000-0000510C0000}"/>
    <cellStyle name="Euro 3 4 3" xfId="1579" xr:uid="{00000000-0005-0000-0000-0000520C0000}"/>
    <cellStyle name="Euro 3 4 4" xfId="2142" xr:uid="{00000000-0005-0000-0000-0000530C0000}"/>
    <cellStyle name="Euro 3 4 5" xfId="712" xr:uid="{00000000-0005-0000-0000-0000540C0000}"/>
    <cellStyle name="Euro 3 4 6" xfId="5788" xr:uid="{00000000-0005-0000-0000-0000550C0000}"/>
    <cellStyle name="Euro 3 5" xfId="1580" xr:uid="{00000000-0005-0000-0000-0000560C0000}"/>
    <cellStyle name="Euro 3 5 2" xfId="2530" xr:uid="{00000000-0005-0000-0000-0000570C0000}"/>
    <cellStyle name="Euro 3 5 3" xfId="3657" xr:uid="{00000000-0005-0000-0000-0000580C0000}"/>
    <cellStyle name="Euro 3 6" xfId="1581" xr:uid="{00000000-0005-0000-0000-0000590C0000}"/>
    <cellStyle name="Euro 3 7" xfId="616" xr:uid="{00000000-0005-0000-0000-00005A0C0000}"/>
    <cellStyle name="Euro 4" xfId="331" xr:uid="{00000000-0005-0000-0000-00005B0C0000}"/>
    <cellStyle name="Euro 4 2" xfId="1583" xr:uid="{00000000-0005-0000-0000-00005C0C0000}"/>
    <cellStyle name="Euro 4 2 2" xfId="1584" xr:uid="{00000000-0005-0000-0000-00005D0C0000}"/>
    <cellStyle name="Euro 4 2 2 2" xfId="1585" xr:uid="{00000000-0005-0000-0000-00005E0C0000}"/>
    <cellStyle name="Euro 4 2 2 2 2" xfId="3788" xr:uid="{00000000-0005-0000-0000-00005F0C0000}"/>
    <cellStyle name="Euro 4 2 2 3" xfId="3352" xr:uid="{00000000-0005-0000-0000-0000600C0000}"/>
    <cellStyle name="Euro 4 2 3" xfId="1586" xr:uid="{00000000-0005-0000-0000-0000610C0000}"/>
    <cellStyle name="Euro 4 2 3 2" xfId="2531" xr:uid="{00000000-0005-0000-0000-0000620C0000}"/>
    <cellStyle name="Euro 4 2 4" xfId="1587" xr:uid="{00000000-0005-0000-0000-0000630C0000}"/>
    <cellStyle name="Euro 4 3" xfId="1588" xr:uid="{00000000-0005-0000-0000-0000640C0000}"/>
    <cellStyle name="Euro 4 3 2" xfId="3353" xr:uid="{00000000-0005-0000-0000-0000650C0000}"/>
    <cellStyle name="Euro 4 3 3" xfId="4649" xr:uid="{00000000-0005-0000-0000-0000660C0000}"/>
    <cellStyle name="Euro 4 4" xfId="1589" xr:uid="{00000000-0005-0000-0000-0000670C0000}"/>
    <cellStyle name="Euro 4 4 2" xfId="3354" xr:uid="{00000000-0005-0000-0000-0000680C0000}"/>
    <cellStyle name="Euro 4 4 2 2" xfId="7024" xr:uid="{EF0FC336-46FF-4924-8567-376EE43006FB}"/>
    <cellStyle name="Euro 4 4 3" xfId="4650" xr:uid="{00000000-0005-0000-0000-0000690C0000}"/>
    <cellStyle name="Euro 4 4 3 2" xfId="7805" xr:uid="{6B2A63EE-502D-4C5A-9EAA-7804FAF13C55}"/>
    <cellStyle name="Euro 4 5" xfId="1590" xr:uid="{00000000-0005-0000-0000-00006A0C0000}"/>
    <cellStyle name="Euro 4 5 2" xfId="2532" xr:uid="{00000000-0005-0000-0000-00006B0C0000}"/>
    <cellStyle name="Euro 4 5 3" xfId="2213" xr:uid="{00000000-0005-0000-0000-00006C0C0000}"/>
    <cellStyle name="Euro 4 6" xfId="1591" xr:uid="{00000000-0005-0000-0000-00006D0C0000}"/>
    <cellStyle name="Euro 4 7" xfId="1582" xr:uid="{00000000-0005-0000-0000-00006E0C0000}"/>
    <cellStyle name="Euro 4 7 2" xfId="4651" xr:uid="{00000000-0005-0000-0000-00006F0C0000}"/>
    <cellStyle name="Euro 4 8" xfId="2082" xr:uid="{00000000-0005-0000-0000-0000700C0000}"/>
    <cellStyle name="Euro 4 8 2" xfId="4648" xr:uid="{00000000-0005-0000-0000-0000710C0000}"/>
    <cellStyle name="Euro 4 9" xfId="713" xr:uid="{00000000-0005-0000-0000-0000720C0000}"/>
    <cellStyle name="Euro 5" xfId="332" xr:uid="{00000000-0005-0000-0000-0000730C0000}"/>
    <cellStyle name="Euro 5 2" xfId="1593" xr:uid="{00000000-0005-0000-0000-0000740C0000}"/>
    <cellStyle name="Euro 5 2 2" xfId="3355" xr:uid="{00000000-0005-0000-0000-0000750C0000}"/>
    <cellStyle name="Euro 5 2 3" xfId="4653" xr:uid="{00000000-0005-0000-0000-0000760C0000}"/>
    <cellStyle name="Euro 5 2 4" xfId="5232" xr:uid="{00000000-0005-0000-0000-0000770C0000}"/>
    <cellStyle name="Euro 5 3" xfId="1594" xr:uid="{00000000-0005-0000-0000-0000780C0000}"/>
    <cellStyle name="Euro 5 3 2" xfId="1595" xr:uid="{00000000-0005-0000-0000-0000790C0000}"/>
    <cellStyle name="Euro 5 3 3" xfId="3789" xr:uid="{00000000-0005-0000-0000-00007A0C0000}"/>
    <cellStyle name="Euro 5 4" xfId="1596" xr:uid="{00000000-0005-0000-0000-00007B0C0000}"/>
    <cellStyle name="Euro 5 4 2" xfId="2253" xr:uid="{00000000-0005-0000-0000-00007C0C0000}"/>
    <cellStyle name="Euro 5 5" xfId="1597" xr:uid="{00000000-0005-0000-0000-00007D0C0000}"/>
    <cellStyle name="Euro 5 6" xfId="4654" xr:uid="{00000000-0005-0000-0000-00007E0C0000}"/>
    <cellStyle name="Euro 5 7" xfId="4652" xr:uid="{00000000-0005-0000-0000-00007F0C0000}"/>
    <cellStyle name="Euro 5 8" xfId="1592" xr:uid="{00000000-0005-0000-0000-0000800C0000}"/>
    <cellStyle name="Euro 5 9" xfId="5789" xr:uid="{00000000-0005-0000-0000-0000810C0000}"/>
    <cellStyle name="Euro 5 9 2" xfId="8642" xr:uid="{9A22E0A4-7ECB-4865-AFB4-8D960A7C4C10}"/>
    <cellStyle name="Euro 5_Suivi cpta investissements QIII 2009.06" xfId="1598" xr:uid="{00000000-0005-0000-0000-0000820C0000}"/>
    <cellStyle name="Euro 6" xfId="1599" xr:uid="{00000000-0005-0000-0000-0000830C0000}"/>
    <cellStyle name="Euro 6 2" xfId="1600" xr:uid="{00000000-0005-0000-0000-0000840C0000}"/>
    <cellStyle name="Euro 6 2 2" xfId="3356" xr:uid="{00000000-0005-0000-0000-0000850C0000}"/>
    <cellStyle name="Euro 6 2 3" xfId="4657" xr:uid="{00000000-0005-0000-0000-0000860C0000}"/>
    <cellStyle name="Euro 6 3" xfId="1601" xr:uid="{00000000-0005-0000-0000-0000870C0000}"/>
    <cellStyle name="Euro 6 4" xfId="1602" xr:uid="{00000000-0005-0000-0000-0000880C0000}"/>
    <cellStyle name="Euro 6 5" xfId="4655" xr:uid="{00000000-0005-0000-0000-0000890C0000}"/>
    <cellStyle name="Euro 6 6" xfId="5790" xr:uid="{00000000-0005-0000-0000-00008A0C0000}"/>
    <cellStyle name="Euro 7" xfId="1603" xr:uid="{00000000-0005-0000-0000-00008B0C0000}"/>
    <cellStyle name="Euro 7 2" xfId="1604" xr:uid="{00000000-0005-0000-0000-00008C0C0000}"/>
    <cellStyle name="Euro 7 2 2" xfId="3357" xr:uid="{00000000-0005-0000-0000-00008D0C0000}"/>
    <cellStyle name="Euro 7 2 3" xfId="4659" xr:uid="{00000000-0005-0000-0000-00008E0C0000}"/>
    <cellStyle name="Euro 7 3" xfId="1605" xr:uid="{00000000-0005-0000-0000-00008F0C0000}"/>
    <cellStyle name="Euro 7 4" xfId="1606" xr:uid="{00000000-0005-0000-0000-0000900C0000}"/>
    <cellStyle name="Euro 7 5" xfId="4658" xr:uid="{00000000-0005-0000-0000-0000910C0000}"/>
    <cellStyle name="Euro 7 6" xfId="4094" xr:uid="{00000000-0005-0000-0000-0000920C0000}"/>
    <cellStyle name="Euro 8" xfId="1607" xr:uid="{00000000-0005-0000-0000-0000930C0000}"/>
    <cellStyle name="Euro 8 2" xfId="1608" xr:uid="{00000000-0005-0000-0000-0000940C0000}"/>
    <cellStyle name="Euro 8 2 2" xfId="3791" xr:uid="{00000000-0005-0000-0000-0000950C0000}"/>
    <cellStyle name="Euro 8 3" xfId="3358" xr:uid="{00000000-0005-0000-0000-0000960C0000}"/>
    <cellStyle name="Euro 9" xfId="1609" xr:uid="{00000000-0005-0000-0000-0000970C0000}"/>
    <cellStyle name="Euro 9 2" xfId="1610" xr:uid="{00000000-0005-0000-0000-0000980C0000}"/>
    <cellStyle name="Euro 9 2 2" xfId="3792" xr:uid="{00000000-0005-0000-0000-0000990C0000}"/>
    <cellStyle name="Euro 9 3" xfId="3359" xr:uid="{00000000-0005-0000-0000-00009A0C0000}"/>
    <cellStyle name="Euro_Compos actif" xfId="1611" xr:uid="{00000000-0005-0000-0000-00009B0C0000}"/>
    <cellStyle name="EY0dp" xfId="5791" xr:uid="{00000000-0005-0000-0000-00009C0C0000}"/>
    <cellStyle name="EYColumnHeading" xfId="5792" xr:uid="{00000000-0005-0000-0000-00009D0C0000}"/>
    <cellStyle name="EYColumnHeading 2" xfId="5649" xr:uid="{00000000-0005-0000-0000-00009E0C0000}"/>
    <cellStyle name="EYColumnHeading 2 2" xfId="8519" xr:uid="{ED2A5618-3658-4182-B118-BC4AD05A7A27}"/>
    <cellStyle name="EYColumnHeading 3" xfId="8643" xr:uid="{AE374B50-A174-447E-882D-2AB26B3D3C33}"/>
    <cellStyle name="hard no" xfId="5793" xr:uid="{00000000-0005-0000-0000-00009F0C0000}"/>
    <cellStyle name="hard no 2" xfId="5794" xr:uid="{00000000-0005-0000-0000-0000A00C0000}"/>
    <cellStyle name="hardno" xfId="5795" xr:uid="{00000000-0005-0000-0000-0000A10C0000}"/>
    <cellStyle name="Insatisfaisant" xfId="333" builtinId="27" customBuiltin="1"/>
    <cellStyle name="Insatisfaisant 2" xfId="334" xr:uid="{00000000-0005-0000-0000-0000A30C0000}"/>
    <cellStyle name="Insatisfaisant 2 2" xfId="335" xr:uid="{00000000-0005-0000-0000-0000A40C0000}"/>
    <cellStyle name="Insatisfaisant 2 2 2" xfId="1613" xr:uid="{00000000-0005-0000-0000-0000A50C0000}"/>
    <cellStyle name="Insatisfaisant 2 2 2 2" xfId="2535" xr:uid="{00000000-0005-0000-0000-0000A60C0000}"/>
    <cellStyle name="Insatisfaisant 2 2 3" xfId="1614" xr:uid="{00000000-0005-0000-0000-0000A70C0000}"/>
    <cellStyle name="Insatisfaisant 2 3" xfId="336" xr:uid="{00000000-0005-0000-0000-0000A80C0000}"/>
    <cellStyle name="Insatisfaisant 2 3 2" xfId="1615" xr:uid="{00000000-0005-0000-0000-0000A90C0000}"/>
    <cellStyle name="Insatisfaisant 2 3 2 2" xfId="3360" xr:uid="{00000000-0005-0000-0000-0000AA0C0000}"/>
    <cellStyle name="Insatisfaisant 2 3 2 2 2" xfId="4664" xr:uid="{00000000-0005-0000-0000-0000AB0C0000}"/>
    <cellStyle name="Insatisfaisant 2 3 2 3" xfId="2536" xr:uid="{00000000-0005-0000-0000-0000AC0C0000}"/>
    <cellStyle name="Insatisfaisant 2 3 2 3 2" xfId="4665" xr:uid="{00000000-0005-0000-0000-0000AD0C0000}"/>
    <cellStyle name="Insatisfaisant 2 3 3" xfId="1616" xr:uid="{00000000-0005-0000-0000-0000AE0C0000}"/>
    <cellStyle name="Insatisfaisant 2 4" xfId="1617" xr:uid="{00000000-0005-0000-0000-0000AF0C0000}"/>
    <cellStyle name="Insatisfaisant 2 4 2" xfId="1618" xr:uid="{00000000-0005-0000-0000-0000B00C0000}"/>
    <cellStyle name="Insatisfaisant 2 4 2 2" xfId="2537" xr:uid="{00000000-0005-0000-0000-0000B10C0000}"/>
    <cellStyle name="Insatisfaisant 2 4 3" xfId="1619" xr:uid="{00000000-0005-0000-0000-0000B20C0000}"/>
    <cellStyle name="Insatisfaisant 2 5" xfId="1620" xr:uid="{00000000-0005-0000-0000-0000B30C0000}"/>
    <cellStyle name="Insatisfaisant 2 5 2" xfId="2709" xr:uid="{00000000-0005-0000-0000-0000B40C0000}"/>
    <cellStyle name="Insatisfaisant 2 5 2 2" xfId="4666" xr:uid="{00000000-0005-0000-0000-0000B50C0000}"/>
    <cellStyle name="Insatisfaisant 2 5 3" xfId="5796" xr:uid="{00000000-0005-0000-0000-0000B60C0000}"/>
    <cellStyle name="Insatisfaisant 2 6" xfId="1621" xr:uid="{00000000-0005-0000-0000-0000B70C0000}"/>
    <cellStyle name="Insatisfaisant 2 7" xfId="1622" xr:uid="{00000000-0005-0000-0000-0000B80C0000}"/>
    <cellStyle name="Insatisfaisant 2 7 2" xfId="1623" xr:uid="{00000000-0005-0000-0000-0000B90C0000}"/>
    <cellStyle name="Insatisfaisant 2 8" xfId="1624" xr:uid="{00000000-0005-0000-0000-0000BA0C0000}"/>
    <cellStyle name="Insatisfaisant 2 8 2" xfId="2538" xr:uid="{00000000-0005-0000-0000-0000BB0C0000}"/>
    <cellStyle name="Insatisfaisant 2 9" xfId="1625" xr:uid="{00000000-0005-0000-0000-0000BC0C0000}"/>
    <cellStyle name="Insatisfaisant 3" xfId="337" xr:uid="{00000000-0005-0000-0000-0000BD0C0000}"/>
    <cellStyle name="Insatisfaisant 3 2" xfId="1626" xr:uid="{00000000-0005-0000-0000-0000BE0C0000}"/>
    <cellStyle name="Insatisfaisant 3 2 2" xfId="1627" xr:uid="{00000000-0005-0000-0000-0000BF0C0000}"/>
    <cellStyle name="Insatisfaisant 3 2 3" xfId="3361" xr:uid="{00000000-0005-0000-0000-0000C00C0000}"/>
    <cellStyle name="Insatisfaisant 3 2 4" xfId="2583" xr:uid="{00000000-0005-0000-0000-0000C10C0000}"/>
    <cellStyle name="Insatisfaisant 3 2 4 2" xfId="4667" xr:uid="{00000000-0005-0000-0000-0000C20C0000}"/>
    <cellStyle name="Insatisfaisant 3 3" xfId="1628" xr:uid="{00000000-0005-0000-0000-0000C30C0000}"/>
    <cellStyle name="Insatisfaisant 3 3 2" xfId="1629" xr:uid="{00000000-0005-0000-0000-0000C40C0000}"/>
    <cellStyle name="Insatisfaisant 3 3 3" xfId="3954" xr:uid="{00000000-0005-0000-0000-0000C50C0000}"/>
    <cellStyle name="Insatisfaisant 3 4" xfId="1630" xr:uid="{00000000-0005-0000-0000-0000C60C0000}"/>
    <cellStyle name="Insatisfaisant 3 4 2" xfId="2539" xr:uid="{00000000-0005-0000-0000-0000C70C0000}"/>
    <cellStyle name="Insatisfaisant 3 4 3" xfId="3899" xr:uid="{00000000-0005-0000-0000-0000C80C0000}"/>
    <cellStyle name="Insatisfaisant 3 5" xfId="1631" xr:uid="{00000000-0005-0000-0000-0000C90C0000}"/>
    <cellStyle name="Insatisfaisant 4" xfId="338" xr:uid="{00000000-0005-0000-0000-0000CA0C0000}"/>
    <cellStyle name="Insatisfaisant 4 2" xfId="1632" xr:uid="{00000000-0005-0000-0000-0000CB0C0000}"/>
    <cellStyle name="Insatisfaisant 4 3" xfId="1633" xr:uid="{00000000-0005-0000-0000-0000CC0C0000}"/>
    <cellStyle name="Insatisfaisant 4 3 2" xfId="2540" xr:uid="{00000000-0005-0000-0000-0000CD0C0000}"/>
    <cellStyle name="Insatisfaisant 4 4" xfId="1634" xr:uid="{00000000-0005-0000-0000-0000CE0C0000}"/>
    <cellStyle name="Insatisfaisant 5" xfId="339" xr:uid="{00000000-0005-0000-0000-0000CF0C0000}"/>
    <cellStyle name="Insatisfaisant 5 2" xfId="1635" xr:uid="{00000000-0005-0000-0000-0000D00C0000}"/>
    <cellStyle name="Insatisfaisant 5 3" xfId="1636" xr:uid="{00000000-0005-0000-0000-0000D10C0000}"/>
    <cellStyle name="Insatisfaisant 5 3 2" xfId="2541" xr:uid="{00000000-0005-0000-0000-0000D20C0000}"/>
    <cellStyle name="Insatisfaisant 5 4" xfId="1637" xr:uid="{00000000-0005-0000-0000-0000D30C0000}"/>
    <cellStyle name="Insatisfaisant 6" xfId="340" xr:uid="{00000000-0005-0000-0000-0000D40C0000}"/>
    <cellStyle name="Insatisfaisant 6 2" xfId="781" xr:uid="{00000000-0005-0000-0000-0000D50C0000}"/>
    <cellStyle name="Insatisfaisant 6 2 2" xfId="4672" xr:uid="{00000000-0005-0000-0000-0000D60C0000}"/>
    <cellStyle name="Insatisfaisant 6 2 3" xfId="4671" xr:uid="{00000000-0005-0000-0000-0000D70C0000}"/>
    <cellStyle name="Insatisfaisant 6 3" xfId="3362" xr:uid="{00000000-0005-0000-0000-0000D80C0000}"/>
    <cellStyle name="Insatisfaisant 6 4" xfId="2542" xr:uid="{00000000-0005-0000-0000-0000D90C0000}"/>
    <cellStyle name="Insatisfaisant 7" xfId="1612" xr:uid="{00000000-0005-0000-0000-0000DA0C0000}"/>
    <cellStyle name="Insatisfaisant 7 2" xfId="2086" xr:uid="{00000000-0005-0000-0000-0000DB0C0000}"/>
    <cellStyle name="Insatisfaisant 7 3" xfId="3363" xr:uid="{00000000-0005-0000-0000-0000DC0C0000}"/>
    <cellStyle name="Insatisfaisant 8" xfId="3564" xr:uid="{00000000-0005-0000-0000-0000DD0C0000}"/>
    <cellStyle name="Insatisfaisant 9" xfId="2857" xr:uid="{00000000-0005-0000-0000-0000DE0C0000}"/>
    <cellStyle name="Insatisfaisant 9 2" xfId="4663" xr:uid="{00000000-0005-0000-0000-0000DF0C0000}"/>
    <cellStyle name="Lien hypertexte" xfId="341" builtinId="8"/>
    <cellStyle name="Lien hypertexte 2" xfId="342" xr:uid="{00000000-0005-0000-0000-0000E10C0000}"/>
    <cellStyle name="Lien hypertexte 2 2" xfId="3364" xr:uid="{00000000-0005-0000-0000-0000E20C0000}"/>
    <cellStyle name="Lien hypertexte 2 3" xfId="3365" xr:uid="{00000000-0005-0000-0000-0000E30C0000}"/>
    <cellStyle name="Lien hypertexte 2 4" xfId="2895" xr:uid="{00000000-0005-0000-0000-0000E40C0000}"/>
    <cellStyle name="Lien hypertexte 2 5" xfId="2859" xr:uid="{00000000-0005-0000-0000-0000E50C0000}"/>
    <cellStyle name="Lien hypertexte 3" xfId="343" xr:uid="{00000000-0005-0000-0000-0000E60C0000}"/>
    <cellStyle name="Lien hypertexte 3 2" xfId="3366" xr:uid="{00000000-0005-0000-0000-0000E70C0000}"/>
    <cellStyle name="Lien hypertexte 3 3" xfId="3955" xr:uid="{00000000-0005-0000-0000-0000E80C0000}"/>
    <cellStyle name="Lien hypertexte 3 4" xfId="3900" xr:uid="{00000000-0005-0000-0000-0000E90C0000}"/>
    <cellStyle name="Lien hypertexte 4" xfId="344" xr:uid="{00000000-0005-0000-0000-0000EA0C0000}"/>
    <cellStyle name="Lien hypertexte 4 2" xfId="4673" xr:uid="{00000000-0005-0000-0000-0000EB0C0000}"/>
    <cellStyle name="Lien hypertexte 4 3" xfId="4093" xr:uid="{00000000-0005-0000-0000-0000EC0C0000}"/>
    <cellStyle name="Lien hypertexte 5" xfId="2858" xr:uid="{00000000-0005-0000-0000-0000ED0C0000}"/>
    <cellStyle name="Milliers" xfId="345" builtinId="3"/>
    <cellStyle name="Milliers 10" xfId="1638" xr:uid="{00000000-0005-0000-0000-0000EF0C0000}"/>
    <cellStyle name="Milliers 10 2" xfId="1639" xr:uid="{00000000-0005-0000-0000-0000F00C0000}"/>
    <cellStyle name="Milliers 10 2 2" xfId="3368" xr:uid="{00000000-0005-0000-0000-0000F10C0000}"/>
    <cellStyle name="Milliers 10 2 2 2" xfId="4676" xr:uid="{00000000-0005-0000-0000-0000F20C0000}"/>
    <cellStyle name="Milliers 10 2 2 3" xfId="4675" xr:uid="{00000000-0005-0000-0000-0000F30C0000}"/>
    <cellStyle name="Milliers 10 2 3" xfId="2544" xr:uid="{00000000-0005-0000-0000-0000F40C0000}"/>
    <cellStyle name="Milliers 10 2 4" xfId="5222" xr:uid="{00000000-0005-0000-0000-0000F50C0000}"/>
    <cellStyle name="Milliers 10 3" xfId="1640" xr:uid="{00000000-0005-0000-0000-0000F60C0000}"/>
    <cellStyle name="Milliers 10 3 2" xfId="3367" xr:uid="{00000000-0005-0000-0000-0000F70C0000}"/>
    <cellStyle name="Milliers 10 4" xfId="2543" xr:uid="{00000000-0005-0000-0000-0000F80C0000}"/>
    <cellStyle name="Milliers 10 5" xfId="4674" xr:uid="{00000000-0005-0000-0000-0000F90C0000}"/>
    <cellStyle name="Milliers 10 6" xfId="5797" xr:uid="{00000000-0005-0000-0000-0000FA0C0000}"/>
    <cellStyle name="Milliers 10 6 2" xfId="8644" xr:uid="{9BCD59BE-3E64-4CDC-A128-1E120AE154C5}"/>
    <cellStyle name="Milliers 11" xfId="3369" xr:uid="{00000000-0005-0000-0000-0000FB0C0000}"/>
    <cellStyle name="Milliers 11 2" xfId="3793" xr:uid="{00000000-0005-0000-0000-0000FC0C0000}"/>
    <cellStyle name="Milliers 11 2 2" xfId="5636" xr:uid="{00000000-0005-0000-0000-0000FD0C0000}"/>
    <cellStyle name="Milliers 11 2 2 2" xfId="8515" xr:uid="{21A38D6D-C920-4CCA-A5B7-E889A305A89E}"/>
    <cellStyle name="Milliers 11 2 3" xfId="6047" xr:uid="{00000000-0005-0000-0000-0000FE0C0000}"/>
    <cellStyle name="Milliers 11 3" xfId="5623" xr:uid="{00000000-0005-0000-0000-0000FF0C0000}"/>
    <cellStyle name="Milliers 11 4" xfId="5798" xr:uid="{00000000-0005-0000-0000-0000000D0000}"/>
    <cellStyle name="Milliers 11 4 2" xfId="8645" xr:uid="{DD29C803-AB54-432C-A5DF-C5E9DAD301EB}"/>
    <cellStyle name="Milliers 11 5" xfId="6050" xr:uid="{00000000-0005-0000-0000-0000010D0000}"/>
    <cellStyle name="Milliers 11 5 2" xfId="6174" xr:uid="{1845132E-2638-4B67-BDD1-86C26F5495CB}"/>
    <cellStyle name="Milliers 11 5 2 2" xfId="8961" xr:uid="{FE2FE27D-4267-4A19-8E8B-DE8643AC680A}"/>
    <cellStyle name="Milliers 11 5 3" xfId="8849" xr:uid="{F818E067-E7E4-44BD-802E-ADE5BC396249}"/>
    <cellStyle name="Milliers 12" xfId="3370" xr:uid="{00000000-0005-0000-0000-0000020D0000}"/>
    <cellStyle name="Milliers 12 2" xfId="3794" xr:uid="{00000000-0005-0000-0000-0000030D0000}"/>
    <cellStyle name="Milliers 12 2 2" xfId="3995" xr:uid="{00000000-0005-0000-0000-0000040D0000}"/>
    <cellStyle name="Milliers 12 2 2 2" xfId="4679" xr:uid="{00000000-0005-0000-0000-0000050D0000}"/>
    <cellStyle name="Milliers 12 2 2 3" xfId="7299" xr:uid="{7BDDFD0C-17D3-4B9B-A6AB-171D8C0EBA01}"/>
    <cellStyle name="Milliers 12 2 3" xfId="4347" xr:uid="{00000000-0005-0000-0000-0000060D0000}"/>
    <cellStyle name="Milliers 12 2 3 2" xfId="7574" xr:uid="{B2CD2DD4-706B-4433-AE5D-B0CBC8A026BF}"/>
    <cellStyle name="Milliers 12 2 4" xfId="4678" xr:uid="{00000000-0005-0000-0000-0000070D0000}"/>
    <cellStyle name="Milliers 12 2 5" xfId="7240" xr:uid="{96AE21D5-4DE3-4A73-AFC9-2DF212025C8A}"/>
    <cellStyle name="Milliers 12 3" xfId="3901" xr:uid="{00000000-0005-0000-0000-0000080D0000}"/>
    <cellStyle name="Milliers 12 3 2" xfId="4680" xr:uid="{00000000-0005-0000-0000-0000090D0000}"/>
    <cellStyle name="Milliers 12 3 3" xfId="7253" xr:uid="{30096004-AE56-4EA2-9ED3-3178F0BCDE2E}"/>
    <cellStyle name="Milliers 12 4" xfId="4226" xr:uid="{00000000-0005-0000-0000-00000A0D0000}"/>
    <cellStyle name="Milliers 12 4 2" xfId="4681" xr:uid="{00000000-0005-0000-0000-00000B0D0000}"/>
    <cellStyle name="Milliers 12 4 3" xfId="7453" xr:uid="{439AF24E-B936-4A1D-A3D2-A9A052DA8764}"/>
    <cellStyle name="Milliers 12 5" xfId="4677" xr:uid="{00000000-0005-0000-0000-00000C0D0000}"/>
    <cellStyle name="Milliers 12 5 2" xfId="4776" xr:uid="{00000000-0005-0000-0000-00000D0D0000}"/>
    <cellStyle name="Milliers 12 5 2 2" xfId="7846" xr:uid="{2FC6B767-AF30-42D6-9D45-DA23A2E181FB}"/>
    <cellStyle name="Milliers 12 6" xfId="4111" xr:uid="{00000000-0005-0000-0000-00000E0D0000}"/>
    <cellStyle name="Milliers 12 6 2" xfId="5323" xr:uid="{00000000-0005-0000-0000-00000F0D0000}"/>
    <cellStyle name="Milliers 12 6 2 2" xfId="8245" xr:uid="{2B2D3A3F-8385-4AE0-8D0F-74ECE8F0B536}"/>
    <cellStyle name="Milliers 12 7" xfId="5799" xr:uid="{00000000-0005-0000-0000-0000100D0000}"/>
    <cellStyle name="Milliers 12 7 2" xfId="8646" xr:uid="{FB0D75E3-4729-4CF8-8FD5-C7605C9131D6}"/>
    <cellStyle name="Milliers 12 8" xfId="6051" xr:uid="{00000000-0005-0000-0000-0000110D0000}"/>
    <cellStyle name="Milliers 12 8 2" xfId="8850" xr:uid="{71223E8C-BC00-4F0F-8A0A-174710365482}"/>
    <cellStyle name="Milliers 12 9" xfId="7025" xr:uid="{3FF66376-D2CC-4A3C-BCCC-33E6B06221D0}"/>
    <cellStyle name="Milliers 13" xfId="3371" xr:uid="{00000000-0005-0000-0000-0000120D0000}"/>
    <cellStyle name="Milliers 13 2" xfId="3795" xr:uid="{00000000-0005-0000-0000-0000130D0000}"/>
    <cellStyle name="Milliers 14" xfId="3372" xr:uid="{00000000-0005-0000-0000-0000140D0000}"/>
    <cellStyle name="Milliers 14 2" xfId="3796" xr:uid="{00000000-0005-0000-0000-0000150D0000}"/>
    <cellStyle name="Milliers 14 3" xfId="5800" xr:uid="{00000000-0005-0000-0000-0000160D0000}"/>
    <cellStyle name="Milliers 14 3 2" xfId="8647" xr:uid="{1D101188-15BF-407C-B390-3BDC94128906}"/>
    <cellStyle name="Milliers 14 4" xfId="6167" xr:uid="{00000000-0005-0000-0000-0000170D0000}"/>
    <cellStyle name="Milliers 14 4 2" xfId="8956" xr:uid="{9BDDD62E-E709-4294-9854-B3223D67ECE9}"/>
    <cellStyle name="Milliers 15" xfId="3542" xr:uid="{00000000-0005-0000-0000-0000180D0000}"/>
    <cellStyle name="Milliers 15 2" xfId="3847" xr:uid="{00000000-0005-0000-0000-0000190D0000}"/>
    <cellStyle name="Milliers 16" xfId="3550" xr:uid="{00000000-0005-0000-0000-00001A0D0000}"/>
    <cellStyle name="Milliers 16 2" xfId="3850" xr:uid="{00000000-0005-0000-0000-00001B0D0000}"/>
    <cellStyle name="Milliers 16 2 2" xfId="4429" xr:uid="{00000000-0005-0000-0000-00001C0D0000}"/>
    <cellStyle name="Milliers 16 2 2 2" xfId="7656" xr:uid="{63F9092C-33C9-4A54-904A-FF6EB901F28E}"/>
    <cellStyle name="Milliers 16 2 3" xfId="4683" xr:uid="{00000000-0005-0000-0000-00001D0D0000}"/>
    <cellStyle name="Milliers 16 2 4" xfId="7249" xr:uid="{A08DE92C-78A3-44D4-9A02-789207C23448}"/>
    <cellStyle name="Milliers 16 3" xfId="4078" xr:uid="{00000000-0005-0000-0000-00001E0D0000}"/>
    <cellStyle name="Milliers 16 3 2" xfId="4684" xr:uid="{00000000-0005-0000-0000-00001F0D0000}"/>
    <cellStyle name="Milliers 16 3 3" xfId="7381" xr:uid="{AA20D2F7-6407-4F95-8514-0E7FE66910B2}"/>
    <cellStyle name="Milliers 16 4" xfId="4308" xr:uid="{00000000-0005-0000-0000-0000200D0000}"/>
    <cellStyle name="Milliers 16 4 2" xfId="7535" xr:uid="{3A9C5A8F-FDFA-440A-8685-349E6EA7BFB7}"/>
    <cellStyle name="Milliers 16 5" xfId="4682" xr:uid="{00000000-0005-0000-0000-0000210D0000}"/>
    <cellStyle name="Milliers 16 5 2" xfId="5138" xr:uid="{00000000-0005-0000-0000-0000220D0000}"/>
    <cellStyle name="Milliers 16 5 2 2" xfId="8089" xr:uid="{36C86201-8765-427E-95D3-B63202568100}"/>
    <cellStyle name="Milliers 16 6" xfId="5404" xr:uid="{00000000-0005-0000-0000-0000230D0000}"/>
    <cellStyle name="Milliers 16 6 2" xfId="8326" xr:uid="{A828A654-C7FE-4AA9-9EB0-D5B302AD4C7F}"/>
    <cellStyle name="Milliers 16 7" xfId="7097" xr:uid="{9E3049FD-B905-466A-9B95-2159012F8797}"/>
    <cellStyle name="Milliers 17" xfId="2896" xr:uid="{00000000-0005-0000-0000-0000240D0000}"/>
    <cellStyle name="Milliers 18" xfId="3602" xr:uid="{00000000-0005-0000-0000-0000250D0000}"/>
    <cellStyle name="Milliers 18 2" xfId="3382" xr:uid="{00000000-0005-0000-0000-0000260D0000}"/>
    <cellStyle name="Milliers 18 3" xfId="7103" xr:uid="{CF2E0795-0D97-4C2C-BAA7-4B563774965D}"/>
    <cellStyle name="Milliers 19" xfId="5631" xr:uid="{00000000-0005-0000-0000-0000270D0000}"/>
    <cellStyle name="Milliers 19 2" xfId="8512" xr:uid="{55754528-6F4A-4A5B-BF74-98BA66AB3E88}"/>
    <cellStyle name="Milliers 2" xfId="346" xr:uid="{00000000-0005-0000-0000-0000280D0000}"/>
    <cellStyle name="Milliers 2 10" xfId="3373" xr:uid="{00000000-0005-0000-0000-0000290D0000}"/>
    <cellStyle name="Milliers 2 10 2" xfId="3797" xr:uid="{00000000-0005-0000-0000-00002A0D0000}"/>
    <cellStyle name="Milliers 2 10 3" xfId="5802" xr:uid="{00000000-0005-0000-0000-00002B0D0000}"/>
    <cellStyle name="Milliers 2 10 3 2" xfId="8649" xr:uid="{179C9329-9C7C-44E7-A9B4-C35092283B5A}"/>
    <cellStyle name="Milliers 2 10 4" xfId="6052" xr:uid="{00000000-0005-0000-0000-00002C0D0000}"/>
    <cellStyle name="Milliers 2 10 4 2" xfId="8851" xr:uid="{F354646B-4556-4871-B077-5DBE25DDFAFA}"/>
    <cellStyle name="Milliers 2 11" xfId="3543" xr:uid="{00000000-0005-0000-0000-00002D0D0000}"/>
    <cellStyle name="Milliers 2 12" xfId="2897" xr:uid="{00000000-0005-0000-0000-00002E0D0000}"/>
    <cellStyle name="Milliers 2 13" xfId="3600" xr:uid="{00000000-0005-0000-0000-00002F0D0000}"/>
    <cellStyle name="Milliers 2 13 2" xfId="2570" xr:uid="{00000000-0005-0000-0000-0000300D0000}"/>
    <cellStyle name="Milliers 2 14" xfId="594" xr:uid="{00000000-0005-0000-0000-0000310D0000}"/>
    <cellStyle name="Milliers 2 15" xfId="5801" xr:uid="{00000000-0005-0000-0000-0000320D0000}"/>
    <cellStyle name="Milliers 2 15 2" xfId="8648" xr:uid="{872862B3-2167-4664-BCD2-2C0F8A4580CA}"/>
    <cellStyle name="Milliers 2 2" xfId="347" xr:uid="{00000000-0005-0000-0000-0000330D0000}"/>
    <cellStyle name="Milliers 2 2 2" xfId="348" xr:uid="{00000000-0005-0000-0000-0000340D0000}"/>
    <cellStyle name="Milliers 2 2 2 2" xfId="1641" xr:uid="{00000000-0005-0000-0000-0000350D0000}"/>
    <cellStyle name="Milliers 2 2 2 2 2" xfId="2545" xr:uid="{00000000-0005-0000-0000-0000360D0000}"/>
    <cellStyle name="Milliers 2 2 2 3" xfId="1642" xr:uid="{00000000-0005-0000-0000-0000370D0000}"/>
    <cellStyle name="Milliers 2 2 2 4" xfId="607" xr:uid="{00000000-0005-0000-0000-0000380D0000}"/>
    <cellStyle name="Milliers 2 2 3" xfId="1643" xr:uid="{00000000-0005-0000-0000-0000390D0000}"/>
    <cellStyle name="Milliers 2 2 3 2" xfId="3798" xr:uid="{00000000-0005-0000-0000-00003A0D0000}"/>
    <cellStyle name="Milliers 2 2 4" xfId="1644" xr:uid="{00000000-0005-0000-0000-00003B0D0000}"/>
    <cellStyle name="Milliers 2 2 4 2" xfId="2898" xr:uid="{00000000-0005-0000-0000-00003C0D0000}"/>
    <cellStyle name="Milliers 2 2 4 3" xfId="5803" xr:uid="{00000000-0005-0000-0000-00003D0D0000}"/>
    <cellStyle name="Milliers 2 2 4 4" xfId="6053" xr:uid="{00000000-0005-0000-0000-00003E0D0000}"/>
    <cellStyle name="Milliers 2 2 5" xfId="2568" xr:uid="{00000000-0005-0000-0000-00003F0D0000}"/>
    <cellStyle name="Milliers 2 2 6" xfId="595" xr:uid="{00000000-0005-0000-0000-0000400D0000}"/>
    <cellStyle name="Milliers 2 3" xfId="349" xr:uid="{00000000-0005-0000-0000-0000410D0000}"/>
    <cellStyle name="Milliers 2 3 2" xfId="350" xr:uid="{00000000-0005-0000-0000-0000420D0000}"/>
    <cellStyle name="Milliers 2 3 2 2" xfId="2334" xr:uid="{00000000-0005-0000-0000-0000430D0000}"/>
    <cellStyle name="Milliers 2 3 2 3" xfId="644" xr:uid="{00000000-0005-0000-0000-0000440D0000}"/>
    <cellStyle name="Milliers 2 3 3" xfId="1645" xr:uid="{00000000-0005-0000-0000-0000450D0000}"/>
    <cellStyle name="Milliers 2 3 3 2" xfId="5804" xr:uid="{00000000-0005-0000-0000-0000460D0000}"/>
    <cellStyle name="Milliers 2 3 3 2 2" xfId="8650" xr:uid="{34386E00-36C8-4591-92D0-E74EE7712C3C}"/>
    <cellStyle name="Milliers 2 3 4" xfId="2899" xr:uid="{00000000-0005-0000-0000-0000470D0000}"/>
    <cellStyle name="Milliers 2 3 5" xfId="2860" xr:uid="{00000000-0005-0000-0000-0000480D0000}"/>
    <cellStyle name="Milliers 2 4" xfId="351" xr:uid="{00000000-0005-0000-0000-0000490D0000}"/>
    <cellStyle name="Milliers 2 4 2" xfId="352" xr:uid="{00000000-0005-0000-0000-00004A0D0000}"/>
    <cellStyle name="Milliers 2 4 2 2" xfId="2330" xr:uid="{00000000-0005-0000-0000-00004B0D0000}"/>
    <cellStyle name="Milliers 2 4 2 3" xfId="643" xr:uid="{00000000-0005-0000-0000-00004C0D0000}"/>
    <cellStyle name="Milliers 2 4 3" xfId="353" xr:uid="{00000000-0005-0000-0000-00004D0D0000}"/>
    <cellStyle name="Milliers 2 4 3 2" xfId="5806" xr:uid="{00000000-0005-0000-0000-00004E0D0000}"/>
    <cellStyle name="Milliers 2 4 4" xfId="354" xr:uid="{00000000-0005-0000-0000-00004F0D0000}"/>
    <cellStyle name="Milliers 2 4 4 2" xfId="5146" xr:uid="{00000000-0005-0000-0000-0000500D0000}"/>
    <cellStyle name="Milliers 2 4 5" xfId="2331" xr:uid="{00000000-0005-0000-0000-0000510D0000}"/>
    <cellStyle name="Milliers 2 4 6" xfId="5805" xr:uid="{00000000-0005-0000-0000-0000520D0000}"/>
    <cellStyle name="Milliers 2 4 6 2" xfId="8651" xr:uid="{3DC583EF-99E5-43D6-B15A-4431F8C48E10}"/>
    <cellStyle name="Milliers 2 4 7" xfId="6054" xr:uid="{00000000-0005-0000-0000-0000530D0000}"/>
    <cellStyle name="Milliers 2 5" xfId="355" xr:uid="{00000000-0005-0000-0000-0000540D0000}"/>
    <cellStyle name="Milliers 2 5 2" xfId="2057" xr:uid="{00000000-0005-0000-0000-0000550D0000}"/>
    <cellStyle name="Milliers 2 5 2 2" xfId="3374" xr:uid="{00000000-0005-0000-0000-0000560D0000}"/>
    <cellStyle name="Milliers 2 5 3" xfId="3375" xr:uid="{00000000-0005-0000-0000-0000570D0000}"/>
    <cellStyle name="Milliers 2 5 3 2" xfId="3799" xr:uid="{00000000-0005-0000-0000-0000580D0000}"/>
    <cellStyle name="Milliers 2 5 4" xfId="2327" xr:uid="{00000000-0005-0000-0000-0000590D0000}"/>
    <cellStyle name="Milliers 2 5 5" xfId="642" xr:uid="{00000000-0005-0000-0000-00005A0D0000}"/>
    <cellStyle name="Milliers 2 6" xfId="356" xr:uid="{00000000-0005-0000-0000-00005B0D0000}"/>
    <cellStyle name="Milliers 2 6 2" xfId="2088" xr:uid="{00000000-0005-0000-0000-00005C0D0000}"/>
    <cellStyle name="Milliers 2 6 2 2" xfId="3376" xr:uid="{00000000-0005-0000-0000-00005D0D0000}"/>
    <cellStyle name="Milliers 2 6 2 3" xfId="2547" xr:uid="{00000000-0005-0000-0000-00005E0D0000}"/>
    <cellStyle name="Milliers 2 6 2 3 2" xfId="4685" xr:uid="{00000000-0005-0000-0000-00005F0D0000}"/>
    <cellStyle name="Milliers 2 6 3" xfId="4686" xr:uid="{00000000-0005-0000-0000-0000600D0000}"/>
    <cellStyle name="Milliers 2 6 4" xfId="5807" xr:uid="{00000000-0005-0000-0000-0000610D0000}"/>
    <cellStyle name="Milliers 2 6 4 2" xfId="8652" xr:uid="{FA95D8C3-4D01-4415-8D33-062EA220A3DE}"/>
    <cellStyle name="Milliers 2 7" xfId="3377" xr:uid="{00000000-0005-0000-0000-0000620D0000}"/>
    <cellStyle name="Milliers 2 7 2" xfId="3800" xr:uid="{00000000-0005-0000-0000-0000630D0000}"/>
    <cellStyle name="Milliers 2 7 2 2" xfId="5236" xr:uid="{00000000-0005-0000-0000-0000640D0000}"/>
    <cellStyle name="Milliers 2 7 3" xfId="2376" xr:uid="{00000000-0005-0000-0000-0000650D0000}"/>
    <cellStyle name="Milliers 2 7 3 2" xfId="4687" xr:uid="{00000000-0005-0000-0000-0000660D0000}"/>
    <cellStyle name="Milliers 2 7 4" xfId="2375" xr:uid="{00000000-0005-0000-0000-0000670D0000}"/>
    <cellStyle name="Milliers 2 7 5" xfId="2377" xr:uid="{00000000-0005-0000-0000-0000680D0000}"/>
    <cellStyle name="Milliers 2 7 6" xfId="5808" xr:uid="{00000000-0005-0000-0000-0000690D0000}"/>
    <cellStyle name="Milliers 2 8" xfId="3378" xr:uid="{00000000-0005-0000-0000-00006A0D0000}"/>
    <cellStyle name="Milliers 2 8 2" xfId="3801" xr:uid="{00000000-0005-0000-0000-00006B0D0000}"/>
    <cellStyle name="Milliers 2 8 3" xfId="2151" xr:uid="{00000000-0005-0000-0000-00006C0D0000}"/>
    <cellStyle name="Milliers 2 8 3 2" xfId="4688" xr:uid="{00000000-0005-0000-0000-00006D0D0000}"/>
    <cellStyle name="Milliers 2 8 4" xfId="4920" xr:uid="{00000000-0005-0000-0000-00006E0D0000}"/>
    <cellStyle name="Milliers 2 9" xfId="3379" xr:uid="{00000000-0005-0000-0000-00006F0D0000}"/>
    <cellStyle name="Milliers 2 9 2" xfId="3802" xr:uid="{00000000-0005-0000-0000-0000700D0000}"/>
    <cellStyle name="Milliers 2 9 3" xfId="2117" xr:uid="{00000000-0005-0000-0000-0000710D0000}"/>
    <cellStyle name="Milliers 2 9 4" xfId="5809" xr:uid="{00000000-0005-0000-0000-0000720D0000}"/>
    <cellStyle name="Milliers 2 9 4 2" xfId="8653" xr:uid="{26FD96BD-A3D2-4EEF-8E39-8FFDDE71CFE1}"/>
    <cellStyle name="Milliers 2 9 5" xfId="6055" xr:uid="{00000000-0005-0000-0000-0000730D0000}"/>
    <cellStyle name="Milliers 2 9 5 2" xfId="8852" xr:uid="{43FC789C-8AE0-4FE5-B491-5C35D38E156C}"/>
    <cellStyle name="Milliers 2_Coupons courus OC CC Hurdle 31122009 v2" xfId="2548" xr:uid="{00000000-0005-0000-0000-0000740D0000}"/>
    <cellStyle name="Milliers 20" xfId="5633" xr:uid="{00000000-0005-0000-0000-0000750D0000}"/>
    <cellStyle name="Milliers 21" xfId="5635" xr:uid="{00000000-0005-0000-0000-0000760D0000}"/>
    <cellStyle name="Milliers 21 2" xfId="8514" xr:uid="{6541E48E-D9D8-4981-9265-5C33B901BE6A}"/>
    <cellStyle name="Milliers 22" xfId="6045" xr:uid="{00000000-0005-0000-0000-0000770D0000}"/>
    <cellStyle name="Milliers 22 2" xfId="8846" xr:uid="{6BA405C0-F5C8-4AA9-ABB9-0F6E17FEE120}"/>
    <cellStyle name="Milliers 24" xfId="6175" xr:uid="{2C7162FD-AE1A-490A-B70A-7C7573921D46}"/>
    <cellStyle name="Milliers 24 2" xfId="8962" xr:uid="{E261AC0A-26D1-4B88-8E0B-A24D6D80E886}"/>
    <cellStyle name="Milliers 3" xfId="357" xr:uid="{00000000-0005-0000-0000-0000780D0000}"/>
    <cellStyle name="Milliers 3 10" xfId="4689" xr:uid="{00000000-0005-0000-0000-0000790D0000}"/>
    <cellStyle name="Milliers 3 10 2" xfId="4690" xr:uid="{00000000-0005-0000-0000-00007A0D0000}"/>
    <cellStyle name="Milliers 3 10 3" xfId="4691" xr:uid="{00000000-0005-0000-0000-00007B0D0000}"/>
    <cellStyle name="Milliers 3 10 4" xfId="4692" xr:uid="{00000000-0005-0000-0000-00007C0D0000}"/>
    <cellStyle name="Milliers 3 10 5" xfId="4693" xr:uid="{00000000-0005-0000-0000-00007D0D0000}"/>
    <cellStyle name="Milliers 3 10 6" xfId="4694" xr:uid="{00000000-0005-0000-0000-00007E0D0000}"/>
    <cellStyle name="Milliers 3 10 7" xfId="4695" xr:uid="{00000000-0005-0000-0000-00007F0D0000}"/>
    <cellStyle name="Milliers 3 10 8" xfId="5564" xr:uid="{00000000-0005-0000-0000-0000800D0000}"/>
    <cellStyle name="Milliers 3 10 8 2" xfId="8458" xr:uid="{08D6EA71-137D-4222-A9E6-1CF5A1182A74}"/>
    <cellStyle name="Milliers 3 11" xfId="5000" xr:uid="{00000000-0005-0000-0000-0000810D0000}"/>
    <cellStyle name="Milliers 3 11 2" xfId="7968" xr:uid="{BAAD0C17-9D3D-4461-B3FA-7879F29C7F03}"/>
    <cellStyle name="Milliers 3 12" xfId="596" xr:uid="{00000000-0005-0000-0000-0000820D0000}"/>
    <cellStyle name="Milliers 3 12 2" xfId="6176" xr:uid="{E142B050-8141-4B59-85D0-A06A89A5D1B7}"/>
    <cellStyle name="Milliers 3 13" xfId="5810" xr:uid="{00000000-0005-0000-0000-0000830D0000}"/>
    <cellStyle name="Milliers 3 13 2" xfId="8654" xr:uid="{479BB7E3-2B5E-4C6A-AFAC-FB3EFFD412FF}"/>
    <cellStyle name="Milliers 3 14" xfId="6056" xr:uid="{00000000-0005-0000-0000-0000840D0000}"/>
    <cellStyle name="Milliers 3 2" xfId="358" xr:uid="{00000000-0005-0000-0000-0000850D0000}"/>
    <cellStyle name="Milliers 3 2 2" xfId="1646" xr:uid="{00000000-0005-0000-0000-0000860D0000}"/>
    <cellStyle name="Milliers 3 2 2 2" xfId="2550" xr:uid="{00000000-0005-0000-0000-0000870D0000}"/>
    <cellStyle name="Milliers 3 2 2 2 2" xfId="5640" xr:uid="{00000000-0005-0000-0000-0000880D0000}"/>
    <cellStyle name="Milliers 3 2 2 3" xfId="4696" xr:uid="{00000000-0005-0000-0000-0000890D0000}"/>
    <cellStyle name="Milliers 3 2 2 4" xfId="5811" xr:uid="{00000000-0005-0000-0000-00008A0D0000}"/>
    <cellStyle name="Milliers 3 2 2 4 2" xfId="8655" xr:uid="{1CFF11EA-E543-416C-A59D-20D14BCDA40B}"/>
    <cellStyle name="Milliers 3 2 2 5" xfId="6057" xr:uid="{00000000-0005-0000-0000-00008B0D0000}"/>
    <cellStyle name="Milliers 3 2 2 5 2" xfId="8853" xr:uid="{05E83353-60EC-461C-99D8-0B8442DB799F}"/>
    <cellStyle name="Milliers 3 2 3" xfId="1647" xr:uid="{00000000-0005-0000-0000-00008C0D0000}"/>
    <cellStyle name="Milliers 3 2 3 2" xfId="2325" xr:uid="{00000000-0005-0000-0000-00008D0D0000}"/>
    <cellStyle name="Milliers 3 2 3 3" xfId="4697" xr:uid="{00000000-0005-0000-0000-00008E0D0000}"/>
    <cellStyle name="Milliers 3 2 3 4" xfId="5641" xr:uid="{00000000-0005-0000-0000-00008F0D0000}"/>
    <cellStyle name="Milliers 3 2 4" xfId="5043" xr:uid="{00000000-0005-0000-0000-0000900D0000}"/>
    <cellStyle name="Milliers 3 2 4 2" xfId="5812" xr:uid="{00000000-0005-0000-0000-0000910D0000}"/>
    <cellStyle name="Milliers 3 2 4 2 2" xfId="8656" xr:uid="{822E61A4-F4FE-443A-9E86-EEA7C8633893}"/>
    <cellStyle name="Milliers 3 2 4 3" xfId="6058" xr:uid="{00000000-0005-0000-0000-0000920D0000}"/>
    <cellStyle name="Milliers 3 2 5" xfId="619" xr:uid="{00000000-0005-0000-0000-0000930D0000}"/>
    <cellStyle name="Milliers 3 3" xfId="359" xr:uid="{00000000-0005-0000-0000-0000940D0000}"/>
    <cellStyle name="Milliers 3 3 2" xfId="1648" xr:uid="{00000000-0005-0000-0000-0000950D0000}"/>
    <cellStyle name="Milliers 3 3 2 2" xfId="3380" xr:uid="{00000000-0005-0000-0000-0000960D0000}"/>
    <cellStyle name="Milliers 3 3 2 3" xfId="4698" xr:uid="{00000000-0005-0000-0000-0000970D0000}"/>
    <cellStyle name="Milliers 3 3 3" xfId="1649" xr:uid="{00000000-0005-0000-0000-0000980D0000}"/>
    <cellStyle name="Milliers 3 3 3 2" xfId="2554" xr:uid="{00000000-0005-0000-0000-0000990D0000}"/>
    <cellStyle name="Milliers 3 3 4" xfId="1650" xr:uid="{00000000-0005-0000-0000-00009A0D0000}"/>
    <cellStyle name="Milliers 3 3 5" xfId="5813" xr:uid="{00000000-0005-0000-0000-00009B0D0000}"/>
    <cellStyle name="Milliers 3 3 5 2" xfId="8657" xr:uid="{FE435333-249A-437E-AE1C-8616D60860B8}"/>
    <cellStyle name="Milliers 3 4" xfId="360" xr:uid="{00000000-0005-0000-0000-00009C0D0000}"/>
    <cellStyle name="Milliers 3 4 2" xfId="1651" xr:uid="{00000000-0005-0000-0000-00009D0D0000}"/>
    <cellStyle name="Milliers 3 4 2 2" xfId="2555" xr:uid="{00000000-0005-0000-0000-00009E0D0000}"/>
    <cellStyle name="Milliers 3 4 3" xfId="1652" xr:uid="{00000000-0005-0000-0000-00009F0D0000}"/>
    <cellStyle name="Milliers 3 4 3 2" xfId="3742" xr:uid="{00000000-0005-0000-0000-0000A00D0000}"/>
    <cellStyle name="Milliers 3 4 4" xfId="618" xr:uid="{00000000-0005-0000-0000-0000A10D0000}"/>
    <cellStyle name="Milliers 3 5" xfId="361" xr:uid="{00000000-0005-0000-0000-0000A20D0000}"/>
    <cellStyle name="Milliers 3 5 2" xfId="362" xr:uid="{00000000-0005-0000-0000-0000A30D0000}"/>
    <cellStyle name="Milliers 3 5 2 2" xfId="3744" xr:uid="{00000000-0005-0000-0000-0000A40D0000}"/>
    <cellStyle name="Milliers 3 5 2 3" xfId="641" xr:uid="{00000000-0005-0000-0000-0000A50D0000}"/>
    <cellStyle name="Milliers 3 5 3" xfId="363" xr:uid="{00000000-0005-0000-0000-0000A60D0000}"/>
    <cellStyle name="Milliers 3 5 3 2" xfId="5814" xr:uid="{00000000-0005-0000-0000-0000A70D0000}"/>
    <cellStyle name="Milliers 3 5 3 2 2" xfId="8658" xr:uid="{A184F06D-77E9-455B-B6C9-4C415124B955}"/>
    <cellStyle name="Milliers 3 5 4" xfId="364" xr:uid="{00000000-0005-0000-0000-0000A80D0000}"/>
    <cellStyle name="Milliers 3 5 4 2" xfId="5221" xr:uid="{00000000-0005-0000-0000-0000A90D0000}"/>
    <cellStyle name="Milliers 3 5 5" xfId="3381" xr:uid="{00000000-0005-0000-0000-0000AA0D0000}"/>
    <cellStyle name="Milliers 3 5 5 2" xfId="3804" xr:uid="{00000000-0005-0000-0000-0000AB0D0000}"/>
    <cellStyle name="Milliers 3 5 6" xfId="3743" xr:uid="{00000000-0005-0000-0000-0000AC0D0000}"/>
    <cellStyle name="Milliers 3 6" xfId="365" xr:uid="{00000000-0005-0000-0000-0000AD0D0000}"/>
    <cellStyle name="Milliers 3 6 2" xfId="5815" xr:uid="{00000000-0005-0000-0000-0000AE0D0000}"/>
    <cellStyle name="Milliers 3 6 2 2" xfId="8659" xr:uid="{A1474FC9-829F-4050-994F-D45F08CBEA0F}"/>
    <cellStyle name="Milliers 3 7" xfId="780" xr:uid="{00000000-0005-0000-0000-0000AF0D0000}"/>
    <cellStyle name="Milliers 3 7 2" xfId="2560" xr:uid="{00000000-0005-0000-0000-0000B00D0000}"/>
    <cellStyle name="Milliers 3 8" xfId="2794" xr:uid="{00000000-0005-0000-0000-0000B10D0000}"/>
    <cellStyle name="Milliers 3 8 2" xfId="2565" xr:uid="{00000000-0005-0000-0000-0000B20D0000}"/>
    <cellStyle name="Milliers 3 8 2 2" xfId="4700" xr:uid="{00000000-0005-0000-0000-0000B30D0000}"/>
    <cellStyle name="Milliers 3 8 3" xfId="4699" xr:uid="{00000000-0005-0000-0000-0000B40D0000}"/>
    <cellStyle name="Milliers 3 8 4" xfId="5217" xr:uid="{00000000-0005-0000-0000-0000B50D0000}"/>
    <cellStyle name="Milliers 3 8 5" xfId="5816" xr:uid="{00000000-0005-0000-0000-0000B60D0000}"/>
    <cellStyle name="Milliers 3 8 6" xfId="6933" xr:uid="{6D14B500-78AF-48D6-8D28-408810DA7C31}"/>
    <cellStyle name="Milliers 3 9" xfId="4701" xr:uid="{00000000-0005-0000-0000-0000B70D0000}"/>
    <cellStyle name="Milliers 3 9 2" xfId="5817" xr:uid="{00000000-0005-0000-0000-0000B80D0000}"/>
    <cellStyle name="Milliers 3 9 2 2" xfId="8660" xr:uid="{73E49992-F407-41E0-BD5B-1EBF19CE655D}"/>
    <cellStyle name="Milliers 3 9 3" xfId="6059" xr:uid="{00000000-0005-0000-0000-0000B90D0000}"/>
    <cellStyle name="Milliers 3 9 3 2" xfId="8854" xr:uid="{1A60272B-3EA8-4B43-ADFD-2B52AC7248E6}"/>
    <cellStyle name="Milliers 37" xfId="8966" xr:uid="{3753AF50-177C-472F-81A7-62541EA75229}"/>
    <cellStyle name="Milliers 4" xfId="366" xr:uid="{00000000-0005-0000-0000-0000BA0D0000}"/>
    <cellStyle name="Milliers 4 2" xfId="367" xr:uid="{00000000-0005-0000-0000-0000BB0D0000}"/>
    <cellStyle name="Milliers 4 2 2" xfId="2317" xr:uid="{00000000-0005-0000-0000-0000BC0D0000}"/>
    <cellStyle name="Milliers 4 2 3" xfId="640" xr:uid="{00000000-0005-0000-0000-0000BD0D0000}"/>
    <cellStyle name="Milliers 4 3" xfId="1653" xr:uid="{00000000-0005-0000-0000-0000BE0D0000}"/>
    <cellStyle name="Milliers 4 3 2" xfId="1654" xr:uid="{00000000-0005-0000-0000-0000BF0D0000}"/>
    <cellStyle name="Milliers 4 3 2 2" xfId="2563" xr:uid="{00000000-0005-0000-0000-0000C00D0000}"/>
    <cellStyle name="Milliers 4 3 3" xfId="1655" xr:uid="{00000000-0005-0000-0000-0000C10D0000}"/>
    <cellStyle name="Milliers 4 3 4" xfId="5819" xr:uid="{00000000-0005-0000-0000-0000C20D0000}"/>
    <cellStyle name="Milliers 4 3 4 2" xfId="8662" xr:uid="{ED3624F3-CD14-492A-AFD5-20D62BF5AC5E}"/>
    <cellStyle name="Milliers 4 4" xfId="2902" xr:uid="{00000000-0005-0000-0000-0000C30D0000}"/>
    <cellStyle name="Milliers 4 5" xfId="2564" xr:uid="{00000000-0005-0000-0000-0000C40D0000}"/>
    <cellStyle name="Milliers 4 5 2" xfId="5820" xr:uid="{00000000-0005-0000-0000-0000C50D0000}"/>
    <cellStyle name="Milliers 4 6" xfId="5821" xr:uid="{00000000-0005-0000-0000-0000C60D0000}"/>
    <cellStyle name="Milliers 4 6 2" xfId="6061" xr:uid="{00000000-0005-0000-0000-0000C70D0000}"/>
    <cellStyle name="Milliers 4 6 3" xfId="8663" xr:uid="{ABF054E0-DE53-4E37-9A00-7F4159CBEDA1}"/>
    <cellStyle name="Milliers 4 7" xfId="5822" xr:uid="{00000000-0005-0000-0000-0000C80D0000}"/>
    <cellStyle name="Milliers 4 7 2" xfId="6062" xr:uid="{00000000-0005-0000-0000-0000C90D0000}"/>
    <cellStyle name="Milliers 4 7 2 2" xfId="8855" xr:uid="{D567DF79-B45C-48BB-982F-0500274482A7}"/>
    <cellStyle name="Milliers 4 7 3" xfId="8664" xr:uid="{23D69DB2-3C13-4B70-91DD-5186E7AFBC20}"/>
    <cellStyle name="Milliers 4 8" xfId="5818" xr:uid="{00000000-0005-0000-0000-0000CA0D0000}"/>
    <cellStyle name="Milliers 4 8 2" xfId="8661" xr:uid="{0DF8B0BC-E099-4F8D-9516-587B9B5F1D93}"/>
    <cellStyle name="Milliers 4 9" xfId="6060" xr:uid="{00000000-0005-0000-0000-0000CB0D0000}"/>
    <cellStyle name="Milliers 5" xfId="368" xr:uid="{00000000-0005-0000-0000-0000CC0D0000}"/>
    <cellStyle name="Milliers 5 2" xfId="369" xr:uid="{00000000-0005-0000-0000-0000CD0D0000}"/>
    <cellStyle name="Milliers 5 2 2" xfId="1656" xr:uid="{00000000-0005-0000-0000-0000CE0D0000}"/>
    <cellStyle name="Milliers 5 2 2 2" xfId="3745" xr:uid="{00000000-0005-0000-0000-0000CF0D0000}"/>
    <cellStyle name="Milliers 5 2 2 3" xfId="2141" xr:uid="{00000000-0005-0000-0000-0000D00D0000}"/>
    <cellStyle name="Milliers 5 2 3" xfId="1657" xr:uid="{00000000-0005-0000-0000-0000D10D0000}"/>
    <cellStyle name="Milliers 5 2 3 2" xfId="2567" xr:uid="{00000000-0005-0000-0000-0000D20D0000}"/>
    <cellStyle name="Milliers 5 2 3 3" xfId="5823" xr:uid="{00000000-0005-0000-0000-0000D30D0000}"/>
    <cellStyle name="Milliers 5 2 3 3 2" xfId="8665" xr:uid="{1CFE5A31-576E-4FC4-BBD0-DA8FED5D1C56}"/>
    <cellStyle name="Milliers 5 2 3 4" xfId="6063" xr:uid="{00000000-0005-0000-0000-0000D40D0000}"/>
    <cellStyle name="Milliers 5 2 3 4 2" xfId="8856" xr:uid="{38186746-5C6E-4302-AE4E-F6FB7D22F223}"/>
    <cellStyle name="Milliers 5 2 4" xfId="1658" xr:uid="{00000000-0005-0000-0000-0000D50D0000}"/>
    <cellStyle name="Milliers 5 2 5" xfId="639" xr:uid="{00000000-0005-0000-0000-0000D60D0000}"/>
    <cellStyle name="Milliers 5 3" xfId="370" xr:uid="{00000000-0005-0000-0000-0000D70D0000}"/>
    <cellStyle name="Milliers 5 3 2" xfId="1659" xr:uid="{00000000-0005-0000-0000-0000D80D0000}"/>
    <cellStyle name="Milliers 5 3 2 2" xfId="2569" xr:uid="{00000000-0005-0000-0000-0000D90D0000}"/>
    <cellStyle name="Milliers 5 3 2 3" xfId="5825" xr:uid="{00000000-0005-0000-0000-0000DA0D0000}"/>
    <cellStyle name="Milliers 5 3 2 3 2" xfId="8666" xr:uid="{C20DFAAA-7F82-4753-9715-798F8D031965}"/>
    <cellStyle name="Milliers 5 3 3" xfId="1660" xr:uid="{00000000-0005-0000-0000-0000DB0D0000}"/>
    <cellStyle name="Milliers 5 3 3 2" xfId="5826" xr:uid="{00000000-0005-0000-0000-0000DC0D0000}"/>
    <cellStyle name="Milliers 5 3 3 2 2" xfId="8667" xr:uid="{1D0ED689-370C-4B54-98F6-737688688D52}"/>
    <cellStyle name="Milliers 5 3 3 3" xfId="6064" xr:uid="{00000000-0005-0000-0000-0000DD0D0000}"/>
    <cellStyle name="Milliers 5 3 3 3 2" xfId="8857" xr:uid="{E3791465-50B8-4689-8E43-E205DF12397F}"/>
    <cellStyle name="Milliers 5 3 4" xfId="5824" xr:uid="{00000000-0005-0000-0000-0000DE0D0000}"/>
    <cellStyle name="Milliers 5 4" xfId="371" xr:uid="{00000000-0005-0000-0000-0000DF0D0000}"/>
    <cellStyle name="Milliers 5 4 2" xfId="1662" xr:uid="{00000000-0005-0000-0000-0000E00D0000}"/>
    <cellStyle name="Milliers 5 4 2 2" xfId="5214" xr:uid="{00000000-0005-0000-0000-0000E10D0000}"/>
    <cellStyle name="Milliers 5 4 3" xfId="1661" xr:uid="{00000000-0005-0000-0000-0000E20D0000}"/>
    <cellStyle name="Milliers 5 5" xfId="1663" xr:uid="{00000000-0005-0000-0000-0000E30D0000}"/>
    <cellStyle name="Milliers 5 5 2" xfId="3383" xr:uid="{00000000-0005-0000-0000-0000E40D0000}"/>
    <cellStyle name="Milliers 5 5 3" xfId="4702" xr:uid="{00000000-0005-0000-0000-0000E50D0000}"/>
    <cellStyle name="Milliers 5 6" xfId="2316" xr:uid="{00000000-0005-0000-0000-0000E60D0000}"/>
    <cellStyle name="Milliers 5 6 2" xfId="5827" xr:uid="{00000000-0005-0000-0000-0000E70D0000}"/>
    <cellStyle name="Milliers 5 6 2 2" xfId="8668" xr:uid="{D5B4475A-D112-43F1-BC82-5B7E7B39FE61}"/>
    <cellStyle name="Milliers 5 6 3" xfId="6065" xr:uid="{00000000-0005-0000-0000-0000E80D0000}"/>
    <cellStyle name="Milliers 5 6 3 2" xfId="8858" xr:uid="{6FE254FD-B11A-4CE7-9D39-749CF946CDE1}"/>
    <cellStyle name="Milliers 6" xfId="372" xr:uid="{00000000-0005-0000-0000-0000E90D0000}"/>
    <cellStyle name="Milliers 6 2" xfId="373" xr:uid="{00000000-0005-0000-0000-0000EA0D0000}"/>
    <cellStyle name="Milliers 6 2 2" xfId="1664" xr:uid="{00000000-0005-0000-0000-0000EB0D0000}"/>
    <cellStyle name="Milliers 6 2 2 2" xfId="3384" xr:uid="{00000000-0005-0000-0000-0000EC0D0000}"/>
    <cellStyle name="Milliers 6 2 2 2 2" xfId="4704" xr:uid="{00000000-0005-0000-0000-0000ED0D0000}"/>
    <cellStyle name="Milliers 6 2 2 2 3" xfId="4703" xr:uid="{00000000-0005-0000-0000-0000EE0D0000}"/>
    <cellStyle name="Milliers 6 2 2 3" xfId="2572" xr:uid="{00000000-0005-0000-0000-0000EF0D0000}"/>
    <cellStyle name="Milliers 6 2 3" xfId="1665" xr:uid="{00000000-0005-0000-0000-0000F00D0000}"/>
    <cellStyle name="Milliers 6 2 3 2" xfId="2315" xr:uid="{00000000-0005-0000-0000-0000F10D0000}"/>
    <cellStyle name="Milliers 6 2 4" xfId="621" xr:uid="{00000000-0005-0000-0000-0000F20D0000}"/>
    <cellStyle name="Milliers 6 3" xfId="374" xr:uid="{00000000-0005-0000-0000-0000F30D0000}"/>
    <cellStyle name="Milliers 6 3 2" xfId="2314" xr:uid="{00000000-0005-0000-0000-0000F40D0000}"/>
    <cellStyle name="Milliers 6 3 3" xfId="620" xr:uid="{00000000-0005-0000-0000-0000F50D0000}"/>
    <cellStyle name="Milliers 6 4" xfId="375" xr:uid="{00000000-0005-0000-0000-0000F60D0000}"/>
    <cellStyle name="Milliers 6 4 2" xfId="2903" xr:uid="{00000000-0005-0000-0000-0000F70D0000}"/>
    <cellStyle name="Milliers 6 4 2 2" xfId="4705" xr:uid="{00000000-0005-0000-0000-0000F80D0000}"/>
    <cellStyle name="Milliers 6 4 3" xfId="2573" xr:uid="{00000000-0005-0000-0000-0000F90D0000}"/>
    <cellStyle name="Milliers 6 4 4" xfId="1666" xr:uid="{00000000-0005-0000-0000-0000FA0D0000}"/>
    <cellStyle name="Milliers 6 5" xfId="1667" xr:uid="{00000000-0005-0000-0000-0000FB0D0000}"/>
    <cellStyle name="Milliers 6 5 2" xfId="2562" xr:uid="{00000000-0005-0000-0000-0000FC0D0000}"/>
    <cellStyle name="Milliers 6 6" xfId="597" xr:uid="{00000000-0005-0000-0000-0000FD0D0000}"/>
    <cellStyle name="Milliers 7" xfId="376" xr:uid="{00000000-0005-0000-0000-0000FE0D0000}"/>
    <cellStyle name="Milliers 7 2" xfId="1668" xr:uid="{00000000-0005-0000-0000-0000FF0D0000}"/>
    <cellStyle name="Milliers 7 2 2" xfId="3385" xr:uid="{00000000-0005-0000-0000-0000000E0000}"/>
    <cellStyle name="Milliers 7 2 2 2" xfId="5830" xr:uid="{00000000-0005-0000-0000-0000010E0000}"/>
    <cellStyle name="Milliers 7 2 2 2 2" xfId="8671" xr:uid="{6117DBB2-64AA-482E-8D36-8F670C9E489E}"/>
    <cellStyle name="Milliers 7 2 2 3" xfId="6068" xr:uid="{00000000-0005-0000-0000-0000020E0000}"/>
    <cellStyle name="Milliers 7 2 2 3 2" xfId="8860" xr:uid="{EEFE7D2B-9079-4185-A6BF-1691209EF298}"/>
    <cellStyle name="Milliers 7 2 3" xfId="4706" xr:uid="{00000000-0005-0000-0000-0000030E0000}"/>
    <cellStyle name="Milliers 7 2 4" xfId="5829" xr:uid="{00000000-0005-0000-0000-0000040E0000}"/>
    <cellStyle name="Milliers 7 2 4 2" xfId="8670" xr:uid="{D15A46B5-4A4B-4370-8DE7-08BDBD95471E}"/>
    <cellStyle name="Milliers 7 2 5" xfId="6067" xr:uid="{00000000-0005-0000-0000-0000050E0000}"/>
    <cellStyle name="Milliers 7 3" xfId="1669" xr:uid="{00000000-0005-0000-0000-0000060E0000}"/>
    <cellStyle name="Milliers 7 3 2" xfId="2576" xr:uid="{00000000-0005-0000-0000-0000070E0000}"/>
    <cellStyle name="Milliers 7 3 2 2" xfId="5832" xr:uid="{00000000-0005-0000-0000-0000080E0000}"/>
    <cellStyle name="Milliers 7 3 2 2 2" xfId="8673" xr:uid="{8550B9EA-205D-491F-B89C-0B5DD845574D}"/>
    <cellStyle name="Milliers 7 3 2 3" xfId="6070" xr:uid="{00000000-0005-0000-0000-0000090E0000}"/>
    <cellStyle name="Milliers 7 3 2 3 2" xfId="8862" xr:uid="{ED230B22-C73E-4043-8CD7-E093F7421771}"/>
    <cellStyle name="Milliers 7 3 3" xfId="5831" xr:uid="{00000000-0005-0000-0000-00000A0E0000}"/>
    <cellStyle name="Milliers 7 3 3 2" xfId="8672" xr:uid="{AB35B355-90CF-46BC-8EBD-CC819C4D6DEE}"/>
    <cellStyle name="Milliers 7 3 4" xfId="6069" xr:uid="{00000000-0005-0000-0000-00000B0E0000}"/>
    <cellStyle name="Milliers 7 3 4 2" xfId="8861" xr:uid="{A4FCB8F6-6F72-480B-B932-66733DF89847}"/>
    <cellStyle name="Milliers 7 4" xfId="1670" xr:uid="{00000000-0005-0000-0000-00000C0E0000}"/>
    <cellStyle name="Milliers 7 4 2" xfId="5833" xr:uid="{00000000-0005-0000-0000-00000D0E0000}"/>
    <cellStyle name="Milliers 7 4 2 2" xfId="8674" xr:uid="{01BE9FF1-5129-425A-B9AD-A2A5A5B8ACAA}"/>
    <cellStyle name="Milliers 7 4 3" xfId="6071" xr:uid="{00000000-0005-0000-0000-00000E0E0000}"/>
    <cellStyle name="Milliers 7 5" xfId="2116" xr:uid="{00000000-0005-0000-0000-00000F0E0000}"/>
    <cellStyle name="Milliers 7 5 2" xfId="5834" xr:uid="{00000000-0005-0000-0000-0000100E0000}"/>
    <cellStyle name="Milliers 7 5 2 2" xfId="8675" xr:uid="{A99C2487-EF64-466A-9BE8-A24C8D6DB205}"/>
    <cellStyle name="Milliers 7 5 3" xfId="6072" xr:uid="{00000000-0005-0000-0000-0000110E0000}"/>
    <cellStyle name="Milliers 7 5 3 2" xfId="8863" xr:uid="{8847CBC5-0CD6-4BD8-97CD-649DC2696BD6}"/>
    <cellStyle name="Milliers 7 6" xfId="5828" xr:uid="{00000000-0005-0000-0000-0000120E0000}"/>
    <cellStyle name="Milliers 7 6 2" xfId="8669" xr:uid="{36E883BF-E33B-448A-8DC5-AA1E83B24115}"/>
    <cellStyle name="Milliers 7 7" xfId="6066" xr:uid="{00000000-0005-0000-0000-0000130E0000}"/>
    <cellStyle name="Milliers 7 7 2" xfId="8859" xr:uid="{447FCFDF-555A-4933-86ED-95F6E9133348}"/>
    <cellStyle name="Milliers 8" xfId="377" xr:uid="{00000000-0005-0000-0000-0000140E0000}"/>
    <cellStyle name="Milliers 8 10" xfId="5835" xr:uid="{00000000-0005-0000-0000-0000150E0000}"/>
    <cellStyle name="Milliers 8 10 2" xfId="8676" xr:uid="{DCECF539-C3BD-482A-A9C5-0F1DAFA255DB}"/>
    <cellStyle name="Milliers 8 11" xfId="6202" xr:uid="{FD09715B-1C70-4CF7-849A-48D91C0E4352}"/>
    <cellStyle name="Milliers 8 2" xfId="1672" xr:uid="{00000000-0005-0000-0000-0000160E0000}"/>
    <cellStyle name="Milliers 8 2 2" xfId="3387" xr:uid="{00000000-0005-0000-0000-0000170E0000}"/>
    <cellStyle name="Milliers 8 2 2 2" xfId="5836" xr:uid="{00000000-0005-0000-0000-0000180E0000}"/>
    <cellStyle name="Milliers 8 2 2 2 2" xfId="8677" xr:uid="{18D228FC-768B-4B13-91AB-48B61EBE3815}"/>
    <cellStyle name="Milliers 8 2 2 3" xfId="6073" xr:uid="{00000000-0005-0000-0000-0000190E0000}"/>
    <cellStyle name="Milliers 8 2 2 3 2" xfId="8864" xr:uid="{7A67A973-770E-4AA1-BC27-412C34584B86}"/>
    <cellStyle name="Milliers 8 2 3" xfId="4708" xr:uid="{00000000-0005-0000-0000-00001A0E0000}"/>
    <cellStyle name="Milliers 8 2 4" xfId="4707" xr:uid="{00000000-0005-0000-0000-00001B0E0000}"/>
    <cellStyle name="Milliers 8 2 5" xfId="4113" xr:uid="{00000000-0005-0000-0000-00001C0E0000}"/>
    <cellStyle name="Milliers 8 2 5 2" xfId="7386" xr:uid="{5BB5C430-F5FB-4EA9-870A-BC4365EA9729}"/>
    <cellStyle name="Milliers 8 2 6" xfId="5239" xr:uid="{00000000-0005-0000-0000-00001D0E0000}"/>
    <cellStyle name="Milliers 8 3" xfId="1673" xr:uid="{00000000-0005-0000-0000-00001E0E0000}"/>
    <cellStyle name="Milliers 8 3 2" xfId="3807" xr:uid="{00000000-0005-0000-0000-00001F0E0000}"/>
    <cellStyle name="Milliers 8 3 2 2" xfId="4348" xr:uid="{00000000-0005-0000-0000-0000200E0000}"/>
    <cellStyle name="Milliers 8 3 2 2 2" xfId="4711" xr:uid="{00000000-0005-0000-0000-0000210E0000}"/>
    <cellStyle name="Milliers 8 3 2 2 3" xfId="7575" xr:uid="{02F61C49-AC01-474C-A84E-2E0B55EFD01B}"/>
    <cellStyle name="Milliers 8 3 2 3" xfId="4710" xr:uid="{00000000-0005-0000-0000-0000220E0000}"/>
    <cellStyle name="Milliers 8 3 2 4" xfId="7241" xr:uid="{A653E5CB-B27F-4123-9B22-D028813402A3}"/>
    <cellStyle name="Milliers 8 3 3" xfId="3996" xr:uid="{00000000-0005-0000-0000-0000230E0000}"/>
    <cellStyle name="Milliers 8 3 3 2" xfId="4712" xr:uid="{00000000-0005-0000-0000-0000240E0000}"/>
    <cellStyle name="Milliers 8 3 3 3" xfId="7300" xr:uid="{45FAA6E7-59A2-4133-93F4-B55C42F760FD}"/>
    <cellStyle name="Milliers 8 3 4" xfId="4227" xr:uid="{00000000-0005-0000-0000-0000250E0000}"/>
    <cellStyle name="Milliers 8 3 4 2" xfId="4713" xr:uid="{00000000-0005-0000-0000-0000260E0000}"/>
    <cellStyle name="Milliers 8 3 4 3" xfId="7454" xr:uid="{AE7C789E-6B94-40DC-88EE-34184118D133}"/>
    <cellStyle name="Milliers 8 3 5" xfId="5055" xr:uid="{00000000-0005-0000-0000-0000270E0000}"/>
    <cellStyle name="Milliers 8 3 5 2" xfId="8012" xr:uid="{2BE01536-C09C-433E-B4FA-3228DF3F6F12}"/>
    <cellStyle name="Milliers 8 3 6" xfId="4709" xr:uid="{00000000-0005-0000-0000-0000280E0000}"/>
    <cellStyle name="Milliers 8 3 6 2" xfId="5324" xr:uid="{00000000-0005-0000-0000-0000290E0000}"/>
    <cellStyle name="Milliers 8 3 6 2 2" xfId="8246" xr:uid="{C636017F-2A65-4A4C-9081-5DEBEAC91FCD}"/>
    <cellStyle name="Milliers 8 3 7" xfId="5837" xr:uid="{00000000-0005-0000-0000-00002A0E0000}"/>
    <cellStyle name="Milliers 8 3 7 2" xfId="8678" xr:uid="{4E1EFD6F-E50E-4A6D-A266-DFC9609A07EB}"/>
    <cellStyle name="Milliers 8 3 8" xfId="6074" xr:uid="{00000000-0005-0000-0000-00002B0E0000}"/>
    <cellStyle name="Milliers 8 3 8 2" xfId="8865" xr:uid="{C573FF13-41FB-4E92-8E41-F88AF5110277}"/>
    <cellStyle name="Milliers 8 3 9" xfId="6509" xr:uid="{1E53EA95-B279-4CDD-9F08-ADCA33DD7F43}"/>
    <cellStyle name="Milliers 8 4" xfId="1671" xr:uid="{00000000-0005-0000-0000-00002C0E0000}"/>
    <cellStyle name="Milliers 8 5" xfId="2904" xr:uid="{00000000-0005-0000-0000-00002D0E0000}"/>
    <cellStyle name="Milliers 8 5 2" xfId="4309" xr:uid="{00000000-0005-0000-0000-00002E0E0000}"/>
    <cellStyle name="Milliers 8 5 2 2" xfId="7536" xr:uid="{F89687BB-5D2A-4314-A1D5-B3CB492AF382}"/>
    <cellStyle name="Milliers 8 5 3" xfId="4714" xr:uid="{00000000-0005-0000-0000-00002F0E0000}"/>
    <cellStyle name="Milliers 8 5 4" xfId="6944" xr:uid="{A3049342-8B9B-4190-A988-91F844351C24}"/>
    <cellStyle name="Milliers 8 6" xfId="3957" xr:uid="{00000000-0005-0000-0000-0000300E0000}"/>
    <cellStyle name="Milliers 8 6 2" xfId="4715" xr:uid="{00000000-0005-0000-0000-0000310E0000}"/>
    <cellStyle name="Milliers 8 6 3" xfId="7261" xr:uid="{D9D07419-8A20-47D0-AA2A-91693B671D02}"/>
    <cellStyle name="Milliers 8 7" xfId="2239" xr:uid="{00000000-0005-0000-0000-0000320E0000}"/>
    <cellStyle name="Milliers 8 7 2" xfId="4188" xr:uid="{00000000-0005-0000-0000-0000330E0000}"/>
    <cellStyle name="Milliers 8 7 2 2" xfId="7415" xr:uid="{7C177EF1-DBA6-4FC0-B8CA-3361F98748C5}"/>
    <cellStyle name="Milliers 8 8" xfId="5321" xr:uid="{00000000-0005-0000-0000-0000340E0000}"/>
    <cellStyle name="Milliers 8 8 2" xfId="8243" xr:uid="{8A3C5A66-2851-4B05-812E-09F826B3CAC9}"/>
    <cellStyle name="Milliers 8 9" xfId="753" xr:uid="{00000000-0005-0000-0000-0000350E0000}"/>
    <cellStyle name="Milliers 8 9 2" xfId="6416" xr:uid="{188EB2ED-5BB1-45FE-A754-05627D5FA0B3}"/>
    <cellStyle name="Milliers 9" xfId="593" xr:uid="{00000000-0005-0000-0000-0000360E0000}"/>
    <cellStyle name="Milliers 9 2" xfId="3808" xr:uid="{00000000-0005-0000-0000-0000370E0000}"/>
    <cellStyle name="Milliers 9 2 2" xfId="5840" xr:uid="{00000000-0005-0000-0000-0000380E0000}"/>
    <cellStyle name="Milliers 9 2 2 2" xfId="6077" xr:uid="{00000000-0005-0000-0000-0000390E0000}"/>
    <cellStyle name="Milliers 9 2 2 2 2" xfId="8867" xr:uid="{4A52F9B3-F1E5-49D4-A34D-6BA44FCB472F}"/>
    <cellStyle name="Milliers 9 2 2 3" xfId="8681" xr:uid="{FD64C921-0E7C-4004-B117-7235596CADA8}"/>
    <cellStyle name="Milliers 9 2 3" xfId="5839" xr:uid="{00000000-0005-0000-0000-00003A0E0000}"/>
    <cellStyle name="Milliers 9 2 3 2" xfId="8680" xr:uid="{A6B903B3-B9E7-402B-B0E2-5BE845BE34C5}"/>
    <cellStyle name="Milliers 9 2 4" xfId="6076" xr:uid="{00000000-0005-0000-0000-00003B0E0000}"/>
    <cellStyle name="Milliers 9 2 4 2" xfId="8866" xr:uid="{F494DF1A-9F86-4194-BC7E-5872A078CB28}"/>
    <cellStyle name="Milliers 9 3" xfId="5841" xr:uid="{00000000-0005-0000-0000-00003C0E0000}"/>
    <cellStyle name="Milliers 9 3 2" xfId="6078" xr:uid="{00000000-0005-0000-0000-00003D0E0000}"/>
    <cellStyle name="Milliers 9 3 2 2" xfId="8868" xr:uid="{27606BE3-789F-4CA4-BFB7-8071D674728F}"/>
    <cellStyle name="Milliers 9 3 3" xfId="8682" xr:uid="{1715B6E8-125C-434A-8DF9-FCB117323342}"/>
    <cellStyle name="Milliers 9 4" xfId="5838" xr:uid="{00000000-0005-0000-0000-00003E0E0000}"/>
    <cellStyle name="Milliers 9 4 2" xfId="8679" xr:uid="{415D679E-22B3-4818-8CD1-28D22B7087C2}"/>
    <cellStyle name="Milliers 9 5" xfId="6075" xr:uid="{00000000-0005-0000-0000-00003F0E0000}"/>
    <cellStyle name="Milliers_Copie de White Knight VI BIS VL 12 06" xfId="378" xr:uid="{00000000-0005-0000-0000-0000400E0000}"/>
    <cellStyle name="Milliers_Hexagone VL 2009 12" xfId="6173" xr:uid="{C90CE0AD-636E-400F-84C4-828309D2189E}"/>
    <cellStyle name="Milliers_White Knight VI BIS VL 12 06 bis" xfId="379" xr:uid="{00000000-0005-0000-0000-0000410E0000}"/>
    <cellStyle name="Milliers_White Knight VI VL 2007.12" xfId="380" xr:uid="{00000000-0005-0000-0000-0000420E0000}"/>
    <cellStyle name="Monétaire 2" xfId="381" xr:uid="{00000000-0005-0000-0000-0000430E0000}"/>
    <cellStyle name="Monétaire 2 2" xfId="1674" xr:uid="{00000000-0005-0000-0000-0000440E0000}"/>
    <cellStyle name="Monétaire 2 2 2" xfId="3746" xr:uid="{00000000-0005-0000-0000-0000450E0000}"/>
    <cellStyle name="Monétaire 2 3" xfId="2795" xr:uid="{00000000-0005-0000-0000-0000460E0000}"/>
    <cellStyle name="Monétaire 2 3 2" xfId="3545" xr:uid="{00000000-0005-0000-0000-0000470E0000}"/>
    <cellStyle name="Monétaire 2 3 2 2" xfId="4717" xr:uid="{00000000-0005-0000-0000-0000480E0000}"/>
    <cellStyle name="Monétaire 2 3 2 2 2" xfId="7812" xr:uid="{723B9BF2-8BD1-460D-B8E9-F5A76841ABEE}"/>
    <cellStyle name="Monétaire 2 3 3" xfId="4718" xr:uid="{00000000-0005-0000-0000-0000490E0000}"/>
    <cellStyle name="Monétaire 2 3 4" xfId="4716" xr:uid="{00000000-0005-0000-0000-00004A0E0000}"/>
    <cellStyle name="Monétaire 2 3 4 2" xfId="7811" xr:uid="{FB770484-B40B-4F71-A39E-50E0E0EB4E2D}"/>
    <cellStyle name="Monétaire 2 3 5" xfId="6934" xr:uid="{F6877A5A-74C9-4DCA-9E65-38575BC56534}"/>
    <cellStyle name="Monétaire 2 4" xfId="5044" xr:uid="{00000000-0005-0000-0000-00004B0E0000}"/>
    <cellStyle name="Monétaire 2 4 2" xfId="5842" xr:uid="{00000000-0005-0000-0000-00004C0E0000}"/>
    <cellStyle name="Monétaire 2 4 2 2" xfId="8683" xr:uid="{5F29373A-2C1A-4DB2-BC0D-C6B7C68447F0}"/>
    <cellStyle name="Monétaire 2 4 3" xfId="6079" xr:uid="{00000000-0005-0000-0000-00004D0E0000}"/>
    <cellStyle name="Monétaire 2 4 3 2" xfId="8869" xr:uid="{DB509CF3-3D52-48B0-8248-CE45FC36BA36}"/>
    <cellStyle name="Monétaire 2 5" xfId="660" xr:uid="{00000000-0005-0000-0000-00004E0E0000}"/>
    <cellStyle name="Monétaire 2 6" xfId="5637" xr:uid="{00000000-0005-0000-0000-00004F0E0000}"/>
    <cellStyle name="Monétaire 2 6 2" xfId="8516" xr:uid="{25C9211C-F80A-40D9-9093-17DC388D59C0}"/>
    <cellStyle name="Monétaire 3" xfId="3388" xr:uid="{00000000-0005-0000-0000-0000500E0000}"/>
    <cellStyle name="Monétaire 3 2" xfId="3809" xr:uid="{00000000-0005-0000-0000-0000510E0000}"/>
    <cellStyle name="Monétaire 3 2 2" xfId="5844" xr:uid="{00000000-0005-0000-0000-0000520E0000}"/>
    <cellStyle name="Monétaire 3 2 2 2" xfId="8685" xr:uid="{D171AC1A-78D5-4360-A9B1-1C700BAE4540}"/>
    <cellStyle name="Monétaire 3 2 3" xfId="6081" xr:uid="{00000000-0005-0000-0000-0000530E0000}"/>
    <cellStyle name="Monétaire 3 2 3 2" xfId="8871" xr:uid="{131494E2-0691-493F-A436-FB24A4A45131}"/>
    <cellStyle name="Monétaire 3 3" xfId="2113" xr:uid="{00000000-0005-0000-0000-0000540E0000}"/>
    <cellStyle name="Monétaire 3 3 2" xfId="6633" xr:uid="{BC4707D4-BE24-4A3A-BD26-C670DC5B7C46}"/>
    <cellStyle name="Monétaire 3 4" xfId="5843" xr:uid="{00000000-0005-0000-0000-0000550E0000}"/>
    <cellStyle name="Monétaire 3 4 2" xfId="8684" xr:uid="{0461F361-70D2-47E4-B621-DF4A033E6812}"/>
    <cellStyle name="Monétaire 3 5" xfId="6080" xr:uid="{00000000-0005-0000-0000-0000560E0000}"/>
    <cellStyle name="Monétaire 3 5 2" xfId="8870" xr:uid="{3EC8BBEA-ADDB-4013-939B-78F19A756FC4}"/>
    <cellStyle name="Monétaire 4" xfId="3389" xr:uid="{00000000-0005-0000-0000-0000570E0000}"/>
    <cellStyle name="Monétaire 4 2" xfId="3810" xr:uid="{00000000-0005-0000-0000-0000580E0000}"/>
    <cellStyle name="Monétaire 4 2 2" xfId="5846" xr:uid="{00000000-0005-0000-0000-0000590E0000}"/>
    <cellStyle name="Monétaire 4 2 2 2" xfId="8687" xr:uid="{93823DED-2061-43F9-A6F7-7165F455BEE6}"/>
    <cellStyle name="Monétaire 4 2 3" xfId="6083" xr:uid="{00000000-0005-0000-0000-00005A0E0000}"/>
    <cellStyle name="Monétaire 4 2 3 2" xfId="8873" xr:uid="{F525A893-D4DB-4EC8-B4D9-3CAAD95EEA65}"/>
    <cellStyle name="Monétaire 4 3" xfId="5845" xr:uid="{00000000-0005-0000-0000-00005B0E0000}"/>
    <cellStyle name="Monétaire 4 3 2" xfId="8686" xr:uid="{0D40B554-D029-4B23-BE69-61A1E39BA80A}"/>
    <cellStyle name="Monétaire 4 4" xfId="6082" xr:uid="{00000000-0005-0000-0000-00005C0E0000}"/>
    <cellStyle name="Monétaire 4 4 2" xfId="8872" xr:uid="{87610FBB-8EE9-42A1-93E3-8F705C878F54}"/>
    <cellStyle name="Monétaire 5" xfId="3544" xr:uid="{00000000-0005-0000-0000-00005D0E0000}"/>
    <cellStyle name="Monétaire 5 2" xfId="3848" xr:uid="{00000000-0005-0000-0000-00005E0E0000}"/>
    <cellStyle name="Monétaire 5 3" xfId="5847" xr:uid="{00000000-0005-0000-0000-00005F0E0000}"/>
    <cellStyle name="Monétaire 5 3 2" xfId="8688" xr:uid="{60818D25-B838-40B4-9109-CB74BBFE0C3E}"/>
    <cellStyle name="Monétaire 6" xfId="3601" xr:uid="{00000000-0005-0000-0000-0000600E0000}"/>
    <cellStyle name="Monétaire 7" xfId="6169" xr:uid="{00000000-0005-0000-0000-0000610E0000}"/>
    <cellStyle name="Monétaire 7 2" xfId="8958" xr:uid="{C77F8626-E974-4F07-8DAA-449F8556568C}"/>
    <cellStyle name="Neutre" xfId="382" builtinId="28" customBuiltin="1"/>
    <cellStyle name="Neutre 10" xfId="2861" xr:uid="{00000000-0005-0000-0000-0000630E0000}"/>
    <cellStyle name="Neutre 10 2" xfId="4719" xr:uid="{00000000-0005-0000-0000-0000640E0000}"/>
    <cellStyle name="Neutre 2" xfId="383" xr:uid="{00000000-0005-0000-0000-0000650E0000}"/>
    <cellStyle name="Neutre 2 2" xfId="384" xr:uid="{00000000-0005-0000-0000-0000660E0000}"/>
    <cellStyle name="Neutre 2 2 2" xfId="1676" xr:uid="{00000000-0005-0000-0000-0000670E0000}"/>
    <cellStyle name="Neutre 2 2 2 2" xfId="3390" xr:uid="{00000000-0005-0000-0000-0000680E0000}"/>
    <cellStyle name="Neutre 2 2 2 2 2" xfId="4720" xr:uid="{00000000-0005-0000-0000-0000690E0000}"/>
    <cellStyle name="Neutre 2 2 2 3" xfId="2584" xr:uid="{00000000-0005-0000-0000-00006A0E0000}"/>
    <cellStyle name="Neutre 2 2 3" xfId="1677" xr:uid="{00000000-0005-0000-0000-00006B0E0000}"/>
    <cellStyle name="Neutre 2 3" xfId="385" xr:uid="{00000000-0005-0000-0000-00006C0E0000}"/>
    <cellStyle name="Neutre 2 3 2" xfId="1678" xr:uid="{00000000-0005-0000-0000-00006D0E0000}"/>
    <cellStyle name="Neutre 2 3 2 2" xfId="3391" xr:uid="{00000000-0005-0000-0000-00006E0E0000}"/>
    <cellStyle name="Neutre 2 3 2 2 2" xfId="4721" xr:uid="{00000000-0005-0000-0000-00006F0E0000}"/>
    <cellStyle name="Neutre 2 3 2 3" xfId="2585" xr:uid="{00000000-0005-0000-0000-0000700E0000}"/>
    <cellStyle name="Neutre 2 3 2 3 2" xfId="4722" xr:uid="{00000000-0005-0000-0000-0000710E0000}"/>
    <cellStyle name="Neutre 2 3 3" xfId="1679" xr:uid="{00000000-0005-0000-0000-0000720E0000}"/>
    <cellStyle name="Neutre 2 4" xfId="1680" xr:uid="{00000000-0005-0000-0000-0000730E0000}"/>
    <cellStyle name="Neutre 2 4 2" xfId="1681" xr:uid="{00000000-0005-0000-0000-0000740E0000}"/>
    <cellStyle name="Neutre 2 4 2 2" xfId="3392" xr:uid="{00000000-0005-0000-0000-0000750E0000}"/>
    <cellStyle name="Neutre 2 4 2 2 2" xfId="4723" xr:uid="{00000000-0005-0000-0000-0000760E0000}"/>
    <cellStyle name="Neutre 2 4 2 3" xfId="2586" xr:uid="{00000000-0005-0000-0000-0000770E0000}"/>
    <cellStyle name="Neutre 2 4 2 3 2" xfId="4724" xr:uid="{00000000-0005-0000-0000-0000780E0000}"/>
    <cellStyle name="Neutre 2 4 3" xfId="1682" xr:uid="{00000000-0005-0000-0000-0000790E0000}"/>
    <cellStyle name="Neutre 2 5" xfId="1683" xr:uid="{00000000-0005-0000-0000-00007A0E0000}"/>
    <cellStyle name="Neutre 2 5 2" xfId="2235" xr:uid="{00000000-0005-0000-0000-00007B0E0000}"/>
    <cellStyle name="Neutre 2 5 2 2" xfId="4725" xr:uid="{00000000-0005-0000-0000-00007C0E0000}"/>
    <cellStyle name="Neutre 2 5 3" xfId="5848" xr:uid="{00000000-0005-0000-0000-00007D0E0000}"/>
    <cellStyle name="Neutre 2 6" xfId="1684" xr:uid="{00000000-0005-0000-0000-00007E0E0000}"/>
    <cellStyle name="Neutre 2 7" xfId="1685" xr:uid="{00000000-0005-0000-0000-00007F0E0000}"/>
    <cellStyle name="Neutre 2 7 2" xfId="1686" xr:uid="{00000000-0005-0000-0000-0000800E0000}"/>
    <cellStyle name="Neutre 2 8" xfId="1687" xr:uid="{00000000-0005-0000-0000-0000810E0000}"/>
    <cellStyle name="Neutre 2 8 2" xfId="2588" xr:uid="{00000000-0005-0000-0000-0000820E0000}"/>
    <cellStyle name="Neutre 2 9" xfId="1688" xr:uid="{00000000-0005-0000-0000-0000830E0000}"/>
    <cellStyle name="Neutre 3" xfId="386" xr:uid="{00000000-0005-0000-0000-0000840E0000}"/>
    <cellStyle name="Neutre 3 2" xfId="1689" xr:uid="{00000000-0005-0000-0000-0000850E0000}"/>
    <cellStyle name="Neutre 3 2 2" xfId="1690" xr:uid="{00000000-0005-0000-0000-0000860E0000}"/>
    <cellStyle name="Neutre 3 2 3" xfId="3393" xr:uid="{00000000-0005-0000-0000-0000870E0000}"/>
    <cellStyle name="Neutre 3 2 4" xfId="2712" xr:uid="{00000000-0005-0000-0000-0000880E0000}"/>
    <cellStyle name="Neutre 3 2 4 2" xfId="4726" xr:uid="{00000000-0005-0000-0000-0000890E0000}"/>
    <cellStyle name="Neutre 3 3" xfId="1691" xr:uid="{00000000-0005-0000-0000-00008A0E0000}"/>
    <cellStyle name="Neutre 3 3 2" xfId="1692" xr:uid="{00000000-0005-0000-0000-00008B0E0000}"/>
    <cellStyle name="Neutre 3 3 3" xfId="3394" xr:uid="{00000000-0005-0000-0000-00008C0E0000}"/>
    <cellStyle name="Neutre 3 4" xfId="1693" xr:uid="{00000000-0005-0000-0000-00008D0E0000}"/>
    <cellStyle name="Neutre 3 4 2" xfId="2593" xr:uid="{00000000-0005-0000-0000-00008E0E0000}"/>
    <cellStyle name="Neutre 3 5" xfId="1694" xr:uid="{00000000-0005-0000-0000-00008F0E0000}"/>
    <cellStyle name="Neutre 3 5 2" xfId="3902" xr:uid="{00000000-0005-0000-0000-0000900E0000}"/>
    <cellStyle name="Neutre 4" xfId="387" xr:uid="{00000000-0005-0000-0000-0000910E0000}"/>
    <cellStyle name="Neutre 4 2" xfId="1695" xr:uid="{00000000-0005-0000-0000-0000920E0000}"/>
    <cellStyle name="Neutre 4 2 2" xfId="3395" xr:uid="{00000000-0005-0000-0000-0000930E0000}"/>
    <cellStyle name="Neutre 4 3" xfId="1696" xr:uid="{00000000-0005-0000-0000-0000940E0000}"/>
    <cellStyle name="Neutre 4 3 2" xfId="2594" xr:uid="{00000000-0005-0000-0000-0000950E0000}"/>
    <cellStyle name="Neutre 4 4" xfId="1697" xr:uid="{00000000-0005-0000-0000-0000960E0000}"/>
    <cellStyle name="Neutre 5" xfId="388" xr:uid="{00000000-0005-0000-0000-0000970E0000}"/>
    <cellStyle name="Neutre 5 2" xfId="1698" xr:uid="{00000000-0005-0000-0000-0000980E0000}"/>
    <cellStyle name="Neutre 5 2 2" xfId="3396" xr:uid="{00000000-0005-0000-0000-0000990E0000}"/>
    <cellStyle name="Neutre 5 3" xfId="1699" xr:uid="{00000000-0005-0000-0000-00009A0E0000}"/>
    <cellStyle name="Neutre 5 3 2" xfId="2595" xr:uid="{00000000-0005-0000-0000-00009B0E0000}"/>
    <cellStyle name="Neutre 5 4" xfId="1700" xr:uid="{00000000-0005-0000-0000-00009C0E0000}"/>
    <cellStyle name="Neutre 6" xfId="389" xr:uid="{00000000-0005-0000-0000-00009D0E0000}"/>
    <cellStyle name="Neutre 6 2" xfId="778" xr:uid="{00000000-0005-0000-0000-00009E0E0000}"/>
    <cellStyle name="Neutre 6 2 2" xfId="4728" xr:uid="{00000000-0005-0000-0000-00009F0E0000}"/>
    <cellStyle name="Neutre 6 2 3" xfId="4727" xr:uid="{00000000-0005-0000-0000-0000A00E0000}"/>
    <cellStyle name="Neutre 6 3" xfId="3397" xr:uid="{00000000-0005-0000-0000-0000A10E0000}"/>
    <cellStyle name="Neutre 6 4" xfId="2596" xr:uid="{00000000-0005-0000-0000-0000A20E0000}"/>
    <cellStyle name="Neutre 7" xfId="1675" xr:uid="{00000000-0005-0000-0000-0000A30E0000}"/>
    <cellStyle name="Neutre 7 2" xfId="2091" xr:uid="{00000000-0005-0000-0000-0000A40E0000}"/>
    <cellStyle name="Neutre 8" xfId="3398" xr:uid="{00000000-0005-0000-0000-0000A50E0000}"/>
    <cellStyle name="Neutre 9" xfId="3565" xr:uid="{00000000-0005-0000-0000-0000A60E0000}"/>
    <cellStyle name="Normal" xfId="0" builtinId="0"/>
    <cellStyle name="Normal 10" xfId="390" xr:uid="{00000000-0005-0000-0000-0000A80E0000}"/>
    <cellStyle name="Normal 10 10" xfId="5251" xr:uid="{00000000-0005-0000-0000-0000A90E0000}"/>
    <cellStyle name="Normal 10 10 2" xfId="5638" xr:uid="{00000000-0005-0000-0000-0000AA0E0000}"/>
    <cellStyle name="Normal 10 10 3" xfId="8173" xr:uid="{08A0D911-8C2F-48B5-822B-075790D61AC3}"/>
    <cellStyle name="Normal 10 11" xfId="677" xr:uid="{00000000-0005-0000-0000-0000AB0E0000}"/>
    <cellStyle name="Normal 10 11 2" xfId="6346" xr:uid="{4001ADFD-D35D-4C1C-BD18-244F3AE3EE67}"/>
    <cellStyle name="Normal 10 12" xfId="6203" xr:uid="{21D35C57-5C2E-4E47-824E-1058D00133C5}"/>
    <cellStyle name="Normal 10 2" xfId="391" xr:uid="{00000000-0005-0000-0000-0000AC0E0000}"/>
    <cellStyle name="Normal 10 2 10" xfId="689" xr:uid="{00000000-0005-0000-0000-0000AD0E0000}"/>
    <cellStyle name="Normal 10 2 10 2" xfId="6356" xr:uid="{F567F536-55F3-4ED5-ACE1-EB8095ACCAB2}"/>
    <cellStyle name="Normal 10 2 11" xfId="5849" xr:uid="{00000000-0005-0000-0000-0000AE0E0000}"/>
    <cellStyle name="Normal 10 2 11 2" xfId="8689" xr:uid="{5EB1BA4D-1352-45C1-B61A-946910781893}"/>
    <cellStyle name="Normal 10 2 12" xfId="6084" xr:uid="{00000000-0005-0000-0000-0000AF0E0000}"/>
    <cellStyle name="Normal 10 2 12 2" xfId="8874" xr:uid="{D8C17491-B3F6-4F30-83F7-47441F32B891}"/>
    <cellStyle name="Normal 10 2 13" xfId="6204" xr:uid="{AA509086-C90C-4F53-AC21-120005342CC3}"/>
    <cellStyle name="Normal 10 2 2" xfId="392" xr:uid="{00000000-0005-0000-0000-0000B00E0000}"/>
    <cellStyle name="Normal 10 2 2 10" xfId="5850" xr:uid="{00000000-0005-0000-0000-0000B10E0000}"/>
    <cellStyle name="Normal 10 2 2 10 2" xfId="8690" xr:uid="{7E1DE9DC-0403-4CB3-A608-94F817FDB49B}"/>
    <cellStyle name="Normal 10 2 2 11" xfId="6085" xr:uid="{00000000-0005-0000-0000-0000B20E0000}"/>
    <cellStyle name="Normal 10 2 2 11 2" xfId="8875" xr:uid="{FA0BB731-5263-44ED-B2B2-D2D43F1C9837}"/>
    <cellStyle name="Normal 10 2 2 12" xfId="6205" xr:uid="{AB70B5E9-F1C8-4003-8723-6958B1ABB545}"/>
    <cellStyle name="Normal 10 2 2 2" xfId="393" xr:uid="{00000000-0005-0000-0000-0000B30E0000}"/>
    <cellStyle name="Normal 10 2 2 2 2" xfId="3399" xr:uid="{00000000-0005-0000-0000-0000B40E0000}"/>
    <cellStyle name="Normal 10 2 2 2 2 2" xfId="4352" xr:uid="{00000000-0005-0000-0000-0000B50E0000}"/>
    <cellStyle name="Normal 10 2 2 2 2 2 2" xfId="7579" xr:uid="{E277BF60-AF9B-4F14-9306-683278261EF5}"/>
    <cellStyle name="Normal 10 2 2 2 2 3" xfId="5167" xr:uid="{00000000-0005-0000-0000-0000B60E0000}"/>
    <cellStyle name="Normal 10 2 2 2 2 3 2" xfId="8117" xr:uid="{7262E56E-DD26-4DFC-A581-0E9B7A45D425}"/>
    <cellStyle name="Normal 10 2 2 2 2 4" xfId="5328" xr:uid="{00000000-0005-0000-0000-0000B70E0000}"/>
    <cellStyle name="Normal 10 2 2 2 2 4 2" xfId="8250" xr:uid="{071F5736-C273-4744-9774-FE1105E36433}"/>
    <cellStyle name="Normal 10 2 2 2 2 5" xfId="7026" xr:uid="{DC9A4CD7-7EB7-45F7-9874-93842191EB86}"/>
    <cellStyle name="Normal 10 2 2 2 3" xfId="4000" xr:uid="{00000000-0005-0000-0000-0000B80E0000}"/>
    <cellStyle name="Normal 10 2 2 2 3 2" xfId="7304" xr:uid="{401DBDD5-A1F2-46C4-A6EB-3A1B59B9564E}"/>
    <cellStyle name="Normal 10 2 2 2 4" xfId="4231" xr:uid="{00000000-0005-0000-0000-0000B90E0000}"/>
    <cellStyle name="Normal 10 2 2 2 4 2" xfId="7458" xr:uid="{390D631B-A931-4F3F-9312-69F463F0CC38}"/>
    <cellStyle name="Normal 10 2 2 2 5" xfId="5059" xr:uid="{00000000-0005-0000-0000-0000BA0E0000}"/>
    <cellStyle name="Normal 10 2 2 2 5 2" xfId="8016" xr:uid="{1AB60D0E-C5DD-4FF9-B0CF-E8108FBC1F04}"/>
    <cellStyle name="Normal 10 2 2 2 6" xfId="5285" xr:uid="{00000000-0005-0000-0000-0000BB0E0000}"/>
    <cellStyle name="Normal 10 2 2 2 6 2" xfId="8207" xr:uid="{082C12BB-81A1-4C59-B87C-A982AA4CFFF9}"/>
    <cellStyle name="Normal 10 2 2 2 7" xfId="716" xr:uid="{00000000-0005-0000-0000-0000BC0E0000}"/>
    <cellStyle name="Normal 10 2 2 2 7 2" xfId="6380" xr:uid="{F947892D-B5CD-4A90-B5F4-9C159AEDED6D}"/>
    <cellStyle name="Normal 10 2 2 2 8" xfId="6206" xr:uid="{568F0C68-6B63-4D14-8903-9DFE7F3C3F0A}"/>
    <cellStyle name="Normal 10 2 2 3" xfId="1703" xr:uid="{00000000-0005-0000-0000-0000BD0E0000}"/>
    <cellStyle name="Normal 10 2 2 3 2" xfId="3999" xr:uid="{00000000-0005-0000-0000-0000BE0E0000}"/>
    <cellStyle name="Normal 10 2 2 3 2 2" xfId="4351" xr:uid="{00000000-0005-0000-0000-0000BF0E0000}"/>
    <cellStyle name="Normal 10 2 2 3 2 2 2" xfId="7578" xr:uid="{697F4183-43EB-43AE-BAB7-0A13970A79CC}"/>
    <cellStyle name="Normal 10 2 2 3 2 3" xfId="7303" xr:uid="{6A8E58D2-BAF3-46FE-9029-C46A67138C5F}"/>
    <cellStyle name="Normal 10 2 2 3 3" xfId="4230" xr:uid="{00000000-0005-0000-0000-0000C00E0000}"/>
    <cellStyle name="Normal 10 2 2 3 3 2" xfId="7457" xr:uid="{B643EC7F-4A26-4758-B32F-E06784B07CC2}"/>
    <cellStyle name="Normal 10 2 2 3 4" xfId="5058" xr:uid="{00000000-0005-0000-0000-0000C10E0000}"/>
    <cellStyle name="Normal 10 2 2 3 4 2" xfId="8015" xr:uid="{46666553-323A-41E6-9D78-7F8CB51260B9}"/>
    <cellStyle name="Normal 10 2 2 3 5" xfId="5327" xr:uid="{00000000-0005-0000-0000-0000C20E0000}"/>
    <cellStyle name="Normal 10 2 2 3 5 2" xfId="8249" xr:uid="{92537386-F97B-4784-9390-EDDF6EEC9C59}"/>
    <cellStyle name="Normal 10 2 2 3 6" xfId="6512" xr:uid="{ED3A0067-D8EC-4E48-AA65-6434D6C3D600}"/>
    <cellStyle name="Normal 10 2 2 4" xfId="2908" xr:uid="{00000000-0005-0000-0000-0000C30E0000}"/>
    <cellStyle name="Normal 10 2 2 4 2" xfId="4312" xr:uid="{00000000-0005-0000-0000-0000C40E0000}"/>
    <cellStyle name="Normal 10 2 2 4 2 2" xfId="7539" xr:uid="{3C150FDF-F59D-4F77-BF8C-16BC32C1D6FA}"/>
    <cellStyle name="Normal 10 2 2 4 3" xfId="6947" xr:uid="{8B884623-1D7E-4100-8904-F9D4744EE6FE}"/>
    <cellStyle name="Normal 10 2 2 5" xfId="3960" xr:uid="{00000000-0005-0000-0000-0000C50E0000}"/>
    <cellStyle name="Normal 10 2 2 5 2" xfId="7264" xr:uid="{070C7B0B-0356-4F72-A9A8-C8A655294F82}"/>
    <cellStyle name="Normal 10 2 2 6" xfId="4191" xr:uid="{00000000-0005-0000-0000-0000C60E0000}"/>
    <cellStyle name="Normal 10 2 2 6 2" xfId="7418" xr:uid="{5DAD798F-C29B-4B10-B706-873EEC063787}"/>
    <cellStyle name="Normal 10 2 2 7" xfId="5003" xr:uid="{00000000-0005-0000-0000-0000C70E0000}"/>
    <cellStyle name="Normal 10 2 2 7 2" xfId="7971" xr:uid="{5ECE8E55-CD3B-4415-AF0D-12D55D2F4BE1}"/>
    <cellStyle name="Normal 10 2 2 8" xfId="5266" xr:uid="{00000000-0005-0000-0000-0000C80E0000}"/>
    <cellStyle name="Normal 10 2 2 8 2" xfId="8188" xr:uid="{BAA05CF4-BE7B-458A-8AA8-B8C58023ABEE}"/>
    <cellStyle name="Normal 10 2 2 9" xfId="694" xr:uid="{00000000-0005-0000-0000-0000C90E0000}"/>
    <cellStyle name="Normal 10 2 2 9 2" xfId="6361" xr:uid="{EDD322BD-B7E8-4158-BFF9-993B2506FA71}"/>
    <cellStyle name="Normal 10 2 3" xfId="394" xr:uid="{00000000-0005-0000-0000-0000CA0E0000}"/>
    <cellStyle name="Normal 10 2 3 2" xfId="3400" xr:uid="{00000000-0005-0000-0000-0000CB0E0000}"/>
    <cellStyle name="Normal 10 2 3 2 2" xfId="4353" xr:uid="{00000000-0005-0000-0000-0000CC0E0000}"/>
    <cellStyle name="Normal 10 2 3 2 2 2" xfId="7580" xr:uid="{AB7F93C2-E35A-404C-B015-F3247ED227DC}"/>
    <cellStyle name="Normal 10 2 3 2 3" xfId="5168" xr:uid="{00000000-0005-0000-0000-0000CD0E0000}"/>
    <cellStyle name="Normal 10 2 3 2 3 2" xfId="8118" xr:uid="{EE482C63-2C11-4508-996A-2ACFD88DFB95}"/>
    <cellStyle name="Normal 10 2 3 2 4" xfId="5329" xr:uid="{00000000-0005-0000-0000-0000CE0E0000}"/>
    <cellStyle name="Normal 10 2 3 2 4 2" xfId="8251" xr:uid="{C188F003-2FC3-4B5B-81A3-6798AE7FEF7F}"/>
    <cellStyle name="Normal 10 2 3 2 5" xfId="7027" xr:uid="{DA96D337-DF32-466B-A0BC-C31D277BDBB9}"/>
    <cellStyle name="Normal 10 2 3 3" xfId="4001" xr:uid="{00000000-0005-0000-0000-0000CF0E0000}"/>
    <cellStyle name="Normal 10 2 3 3 2" xfId="7305" xr:uid="{2D415D23-A0D4-48E2-AA97-7EBDA0008F48}"/>
    <cellStyle name="Normal 10 2 3 4" xfId="4232" xr:uid="{00000000-0005-0000-0000-0000D00E0000}"/>
    <cellStyle name="Normal 10 2 3 4 2" xfId="7459" xr:uid="{BB62EE9F-6E32-46FF-80DE-B234586F316B}"/>
    <cellStyle name="Normal 10 2 3 5" xfId="5060" xr:uid="{00000000-0005-0000-0000-0000D10E0000}"/>
    <cellStyle name="Normal 10 2 3 5 2" xfId="8017" xr:uid="{910F63F0-B07F-4B08-B8C6-6DA0CF286AC5}"/>
    <cellStyle name="Normal 10 2 3 6" xfId="5284" xr:uid="{00000000-0005-0000-0000-0000D20E0000}"/>
    <cellStyle name="Normal 10 2 3 6 2" xfId="8206" xr:uid="{6FE1269B-ADC3-46D1-B2C0-95095AF39812}"/>
    <cellStyle name="Normal 10 2 3 7" xfId="715" xr:uid="{00000000-0005-0000-0000-0000D30E0000}"/>
    <cellStyle name="Normal 10 2 3 7 2" xfId="6379" xr:uid="{175F2386-DA2F-4B2E-8205-6649D1E2D093}"/>
    <cellStyle name="Normal 10 2 3 8" xfId="6207" xr:uid="{4109A567-6E09-4CFD-AFBA-3DE8D9E422FA}"/>
    <cellStyle name="Normal 10 2 4" xfId="1702" xr:uid="{00000000-0005-0000-0000-0000D40E0000}"/>
    <cellStyle name="Normal 10 2 4 2" xfId="3998" xr:uid="{00000000-0005-0000-0000-0000D50E0000}"/>
    <cellStyle name="Normal 10 2 4 2 2" xfId="4350" xr:uid="{00000000-0005-0000-0000-0000D60E0000}"/>
    <cellStyle name="Normal 10 2 4 2 2 2" xfId="7577" xr:uid="{EEB8959A-A000-4703-B07B-DD9BACCD6397}"/>
    <cellStyle name="Normal 10 2 4 2 3" xfId="7302" xr:uid="{0A9777A2-5358-4B2B-94B1-D70ECE8BB0B6}"/>
    <cellStyle name="Normal 10 2 4 3" xfId="4229" xr:uid="{00000000-0005-0000-0000-0000D70E0000}"/>
    <cellStyle name="Normal 10 2 4 3 2" xfId="7456" xr:uid="{A9967F1F-3330-4798-9ED6-9FC9122F1488}"/>
    <cellStyle name="Normal 10 2 4 4" xfId="5057" xr:uid="{00000000-0005-0000-0000-0000D80E0000}"/>
    <cellStyle name="Normal 10 2 4 4 2" xfId="8014" xr:uid="{BC1784DF-0DFC-4BB5-BF6E-5AEB99140EC2}"/>
    <cellStyle name="Normal 10 2 4 5" xfId="5326" xr:uid="{00000000-0005-0000-0000-0000D90E0000}"/>
    <cellStyle name="Normal 10 2 4 5 2" xfId="8248" xr:uid="{B07F9F90-FED7-41F8-940E-1E6A8EF051B2}"/>
    <cellStyle name="Normal 10 2 4 6" xfId="6511" xr:uid="{59F750E3-1916-4504-9DDE-3E3988C51BB7}"/>
    <cellStyle name="Normal 10 2 5" xfId="2907" xr:uid="{00000000-0005-0000-0000-0000DA0E0000}"/>
    <cellStyle name="Normal 10 2 5 2" xfId="4311" xr:uid="{00000000-0005-0000-0000-0000DB0E0000}"/>
    <cellStyle name="Normal 10 2 5 2 2" xfId="7538" xr:uid="{2B0C357A-E36C-482A-AE9B-AF69D88D53DC}"/>
    <cellStyle name="Normal 10 2 5 3" xfId="6946" xr:uid="{E4B16326-451D-4926-8D31-3E65DEE7E3F4}"/>
    <cellStyle name="Normal 10 2 6" xfId="3959" xr:uid="{00000000-0005-0000-0000-0000DC0E0000}"/>
    <cellStyle name="Normal 10 2 6 2" xfId="7263" xr:uid="{92A27B91-8321-4247-824F-DD3F42ADF1AB}"/>
    <cellStyle name="Normal 10 2 7" xfId="4190" xr:uid="{00000000-0005-0000-0000-0000DD0E0000}"/>
    <cellStyle name="Normal 10 2 7 2" xfId="7417" xr:uid="{CFD525C8-CBB7-4F76-9408-9BFFB5776547}"/>
    <cellStyle name="Normal 10 2 8" xfId="5002" xr:uid="{00000000-0005-0000-0000-0000DE0E0000}"/>
    <cellStyle name="Normal 10 2 8 2" xfId="7970" xr:uid="{AD51F1E6-FFA0-493D-B2FC-E19E4CBC5028}"/>
    <cellStyle name="Normal 10 2 9" xfId="5261" xr:uid="{00000000-0005-0000-0000-0000DF0E0000}"/>
    <cellStyle name="Normal 10 2 9 2" xfId="8183" xr:uid="{283A34F0-8ADB-4998-A98D-5B5AB3B1A238}"/>
    <cellStyle name="Normal 10 3" xfId="395" xr:uid="{00000000-0005-0000-0000-0000E00E0000}"/>
    <cellStyle name="Normal 10 3 10" xfId="5851" xr:uid="{00000000-0005-0000-0000-0000E10E0000}"/>
    <cellStyle name="Normal 10 3 11" xfId="6208" xr:uid="{9D024F03-76E9-4341-9EA2-2E91408E4164}"/>
    <cellStyle name="Normal 10 3 2" xfId="396" xr:uid="{00000000-0005-0000-0000-0000E20E0000}"/>
    <cellStyle name="Normal 10 3 2 2" xfId="3401" xr:uid="{00000000-0005-0000-0000-0000E30E0000}"/>
    <cellStyle name="Normal 10 3 2 2 2" xfId="4355" xr:uid="{00000000-0005-0000-0000-0000E40E0000}"/>
    <cellStyle name="Normal 10 3 2 2 2 2" xfId="7582" xr:uid="{935C3A3F-0A67-44D4-8EDD-715E1352B55B}"/>
    <cellStyle name="Normal 10 3 2 2 3" xfId="5169" xr:uid="{00000000-0005-0000-0000-0000E50E0000}"/>
    <cellStyle name="Normal 10 3 2 2 3 2" xfId="8119" xr:uid="{6C60963B-D7BA-4AA3-9E44-D317D51DA933}"/>
    <cellStyle name="Normal 10 3 2 2 4" xfId="5331" xr:uid="{00000000-0005-0000-0000-0000E60E0000}"/>
    <cellStyle name="Normal 10 3 2 2 4 2" xfId="8253" xr:uid="{96BAE41F-8B26-4DC3-ACBD-6E473BDD3E2D}"/>
    <cellStyle name="Normal 10 3 2 2 5" xfId="7028" xr:uid="{D18D1790-E3A3-4C74-A392-2159BC8B74F0}"/>
    <cellStyle name="Normal 10 3 2 3" xfId="4003" xr:uid="{00000000-0005-0000-0000-0000E70E0000}"/>
    <cellStyle name="Normal 10 3 2 3 2" xfId="7307" xr:uid="{4E94FB35-0E24-45F0-92B1-4B1A05436CBE}"/>
    <cellStyle name="Normal 10 3 2 4" xfId="4234" xr:uid="{00000000-0005-0000-0000-0000E80E0000}"/>
    <cellStyle name="Normal 10 3 2 4 2" xfId="7461" xr:uid="{564913F6-52F7-4EA6-A1EA-115FE7C47EF8}"/>
    <cellStyle name="Normal 10 3 2 5" xfId="5062" xr:uid="{00000000-0005-0000-0000-0000E90E0000}"/>
    <cellStyle name="Normal 10 3 2 5 2" xfId="8019" xr:uid="{548F9658-6418-4A0D-84C7-9FC0BD67CF0D}"/>
    <cellStyle name="Normal 10 3 2 6" xfId="5286" xr:uid="{00000000-0005-0000-0000-0000EA0E0000}"/>
    <cellStyle name="Normal 10 3 2 6 2" xfId="8208" xr:uid="{94D56A11-F2DB-457B-B97D-7FCFAD608A46}"/>
    <cellStyle name="Normal 10 3 2 7" xfId="717" xr:uid="{00000000-0005-0000-0000-0000EB0E0000}"/>
    <cellStyle name="Normal 10 3 2 7 2" xfId="6381" xr:uid="{886AF073-C09F-44C5-BDEA-8905A99E70F0}"/>
    <cellStyle name="Normal 10 3 2 8" xfId="6209" xr:uid="{A48D8697-3D2F-437D-8B7F-23B9EEE3DC17}"/>
    <cellStyle name="Normal 10 3 3" xfId="1704" xr:uid="{00000000-0005-0000-0000-0000EC0E0000}"/>
    <cellStyle name="Normal 10 3 3 2" xfId="4002" xr:uid="{00000000-0005-0000-0000-0000ED0E0000}"/>
    <cellStyle name="Normal 10 3 3 2 2" xfId="4354" xr:uid="{00000000-0005-0000-0000-0000EE0E0000}"/>
    <cellStyle name="Normal 10 3 3 2 2 2" xfId="7581" xr:uid="{55F580AC-081D-4D58-B2C4-BB359591B753}"/>
    <cellStyle name="Normal 10 3 3 2 3" xfId="7306" xr:uid="{69CB9B9C-0646-4577-8ED0-1C495B888500}"/>
    <cellStyle name="Normal 10 3 3 3" xfId="4233" xr:uid="{00000000-0005-0000-0000-0000EF0E0000}"/>
    <cellStyle name="Normal 10 3 3 3 2" xfId="7460" xr:uid="{EB8EECC5-D032-4E55-8504-70C684DA792F}"/>
    <cellStyle name="Normal 10 3 3 4" xfId="5061" xr:uid="{00000000-0005-0000-0000-0000F00E0000}"/>
    <cellStyle name="Normal 10 3 3 4 2" xfId="8018" xr:uid="{DA3413F5-ABB2-49D1-8EDA-DA24E10A0F22}"/>
    <cellStyle name="Normal 10 3 3 5" xfId="5330" xr:uid="{00000000-0005-0000-0000-0000F10E0000}"/>
    <cellStyle name="Normal 10 3 3 5 2" xfId="8252" xr:uid="{73CC5E3D-85C2-42F1-BA0E-AD95577ACADA}"/>
    <cellStyle name="Normal 10 3 3 6" xfId="6513" xr:uid="{773B1810-A623-43EF-B711-1D04BCABE209}"/>
    <cellStyle name="Normal 10 3 4" xfId="2909" xr:uid="{00000000-0005-0000-0000-0000F20E0000}"/>
    <cellStyle name="Normal 10 3 4 2" xfId="4313" xr:uid="{00000000-0005-0000-0000-0000F30E0000}"/>
    <cellStyle name="Normal 10 3 4 2 2" xfId="7540" xr:uid="{F25E5D12-8E5C-4335-8CBC-853A4B016983}"/>
    <cellStyle name="Normal 10 3 4 3" xfId="6948" xr:uid="{CFF3AB93-CB51-40BB-BEF3-ED0F673F9A31}"/>
    <cellStyle name="Normal 10 3 5" xfId="3961" xr:uid="{00000000-0005-0000-0000-0000F40E0000}"/>
    <cellStyle name="Normal 10 3 5 2" xfId="7265" xr:uid="{5F836295-950E-4B4B-83C9-333BB81685C9}"/>
    <cellStyle name="Normal 10 3 6" xfId="4192" xr:uid="{00000000-0005-0000-0000-0000F50E0000}"/>
    <cellStyle name="Normal 10 3 6 2" xfId="7419" xr:uid="{C6CD2239-451C-4E12-AD29-2C1601BE3257}"/>
    <cellStyle name="Normal 10 3 7" xfId="5004" xr:uid="{00000000-0005-0000-0000-0000F60E0000}"/>
    <cellStyle name="Normal 10 3 7 2" xfId="7972" xr:uid="{51AA89F2-DF60-42FE-B226-DD8E33FA127D}"/>
    <cellStyle name="Normal 10 3 8" xfId="5265" xr:uid="{00000000-0005-0000-0000-0000F70E0000}"/>
    <cellStyle name="Normal 10 3 8 2" xfId="8187" xr:uid="{DE1B7252-DCE0-4126-B5D5-B1BFC24BAE60}"/>
    <cellStyle name="Normal 10 3 9" xfId="693" xr:uid="{00000000-0005-0000-0000-0000F80E0000}"/>
    <cellStyle name="Normal 10 3 9 2" xfId="6360" xr:uid="{EEAE4572-B492-428D-B13F-1C1C75C234A2}"/>
    <cellStyle name="Normal 10 4" xfId="397" xr:uid="{00000000-0005-0000-0000-0000F90E0000}"/>
    <cellStyle name="Normal 10 4 2" xfId="3403" xr:uid="{00000000-0005-0000-0000-0000FA0E0000}"/>
    <cellStyle name="Normal 10 4 2 2" xfId="3813" xr:uid="{00000000-0005-0000-0000-0000FB0E0000}"/>
    <cellStyle name="Normal 10 4 2 2 2" xfId="4356" xr:uid="{00000000-0005-0000-0000-0000FC0E0000}"/>
    <cellStyle name="Normal 10 4 2 2 2 2" xfId="7583" xr:uid="{218629F1-5AD1-446C-B2C2-16FF3C3EAA58}"/>
    <cellStyle name="Normal 10 4 2 2 3" xfId="7242" xr:uid="{A6EC0DB0-F04C-4366-8CD2-0BCDF6617DAF}"/>
    <cellStyle name="Normal 10 4 2 3" xfId="4004" xr:uid="{00000000-0005-0000-0000-0000FD0E0000}"/>
    <cellStyle name="Normal 10 4 2 3 2" xfId="7308" xr:uid="{64CB1212-DF4F-488E-B70D-DB691AE9FB4E}"/>
    <cellStyle name="Normal 10 4 2 4" xfId="4235" xr:uid="{00000000-0005-0000-0000-0000FE0E0000}"/>
    <cellStyle name="Normal 10 4 2 4 2" xfId="7462" xr:uid="{EB99A30A-72A9-4621-9AEC-F9904D378AC1}"/>
    <cellStyle name="Normal 10 4 2 5" xfId="4985" xr:uid="{00000000-0005-0000-0000-0000FF0E0000}"/>
    <cellStyle name="Normal 10 4 2 5 2" xfId="7963" xr:uid="{16D2281D-8AE0-4FD4-A24F-3153A8780921}"/>
    <cellStyle name="Normal 10 4 2 6" xfId="5332" xr:uid="{00000000-0005-0000-0000-0000000F0000}"/>
    <cellStyle name="Normal 10 4 2 6 2" xfId="8254" xr:uid="{6223861A-BCC5-4094-B477-B70574C36389}"/>
    <cellStyle name="Normal 10 4 2 7" xfId="5853" xr:uid="{00000000-0005-0000-0000-0000010F0000}"/>
    <cellStyle name="Normal 10 4 2 8" xfId="7029" xr:uid="{B93A1432-754A-4C4E-973D-4B1F043C3620}"/>
    <cellStyle name="Normal 10 4 3" xfId="3402" xr:uid="{00000000-0005-0000-0000-0000020F0000}"/>
    <cellStyle name="Normal 10 4 4" xfId="4743" xr:uid="{00000000-0005-0000-0000-0000030F0000}"/>
    <cellStyle name="Normal 10 4 4 2" xfId="5283" xr:uid="{00000000-0005-0000-0000-0000040F0000}"/>
    <cellStyle name="Normal 10 4 4 2 2" xfId="8205" xr:uid="{37BA405A-CD68-47C1-9E5D-E7E6003D0B99}"/>
    <cellStyle name="Normal 10 4 5" xfId="4741" xr:uid="{00000000-0005-0000-0000-0000050F0000}"/>
    <cellStyle name="Normal 10 4 5 2" xfId="7825" xr:uid="{5873B3E4-D571-4CB7-93CD-C3FD0D0A87BE}"/>
    <cellStyle name="Normal 10 4 6" xfId="714" xr:uid="{00000000-0005-0000-0000-0000060F0000}"/>
    <cellStyle name="Normal 10 4 6 2" xfId="6378" xr:uid="{DAD1FFDB-B4DF-4A7B-BD19-7EA868EF5B85}"/>
    <cellStyle name="Normal 10 4 7" xfId="5852" xr:uid="{00000000-0005-0000-0000-0000070F0000}"/>
    <cellStyle name="Normal 10 4 7 2" xfId="8691" xr:uid="{B0894400-E09F-455B-95CD-79A1663F8CA3}"/>
    <cellStyle name="Normal 10 4 8" xfId="6086" xr:uid="{00000000-0005-0000-0000-0000080F0000}"/>
    <cellStyle name="Normal 10 4 8 2" xfId="8876" xr:uid="{EEC00047-63A9-4A13-A19B-F7FE287D8A3D}"/>
    <cellStyle name="Normal 10 4 9" xfId="6210" xr:uid="{371EE764-5770-4CC7-A143-4F4FCB0B5274}"/>
    <cellStyle name="Normal 10 5" xfId="1701" xr:uid="{00000000-0005-0000-0000-0000090F0000}"/>
    <cellStyle name="Normal 10 5 2" xfId="3997" xr:uid="{00000000-0005-0000-0000-00000A0F0000}"/>
    <cellStyle name="Normal 10 5 2 2" xfId="4349" xr:uid="{00000000-0005-0000-0000-00000B0F0000}"/>
    <cellStyle name="Normal 10 5 2 2 2" xfId="7576" xr:uid="{A3DBF974-EA27-4552-85FE-6B31B5F1D288}"/>
    <cellStyle name="Normal 10 5 2 3" xfId="7301" xr:uid="{D4B96517-3F6F-4041-A4B9-6BC7F52D22FC}"/>
    <cellStyle name="Normal 10 5 3" xfId="4228" xr:uid="{00000000-0005-0000-0000-00000C0F0000}"/>
    <cellStyle name="Normal 10 5 3 2" xfId="7455" xr:uid="{D2CF6DBD-9A6E-4D57-8F11-585984570DDB}"/>
    <cellStyle name="Normal 10 5 4" xfId="5056" xr:uid="{00000000-0005-0000-0000-00000D0F0000}"/>
    <cellStyle name="Normal 10 5 4 2" xfId="8013" xr:uid="{4DF949B5-884C-43DC-AC00-9D666DF65BEB}"/>
    <cellStyle name="Normal 10 5 5" xfId="5325" xr:uid="{00000000-0005-0000-0000-00000E0F0000}"/>
    <cellStyle name="Normal 10 5 5 2" xfId="8247" xr:uid="{BA017E28-CDFA-4F1E-9BE3-CAD907C85889}"/>
    <cellStyle name="Normal 10 5 6" xfId="5854" xr:uid="{00000000-0005-0000-0000-00000F0F0000}"/>
    <cellStyle name="Normal 10 5 6 2" xfId="8692" xr:uid="{D6ACB9BF-9D62-4559-AE62-BDF8D21D44C8}"/>
    <cellStyle name="Normal 10 5 7" xfId="6087" xr:uid="{00000000-0005-0000-0000-0000100F0000}"/>
    <cellStyle name="Normal 10 5 7 2" xfId="8877" xr:uid="{72EE2A83-CCE5-47A0-82B4-8FF9BA8D37AB}"/>
    <cellStyle name="Normal 10 5 8" xfId="6510" xr:uid="{779B94FA-3E36-4C41-B552-A57E4BB617E4}"/>
    <cellStyle name="Normal 10 6" xfId="2906" xr:uid="{00000000-0005-0000-0000-0000110F0000}"/>
    <cellStyle name="Normal 10 6 2" xfId="4310" xr:uid="{00000000-0005-0000-0000-0000120F0000}"/>
    <cellStyle name="Normal 10 6 2 2" xfId="7537" xr:uid="{B672B372-3184-4D87-9616-08325DF51FF8}"/>
    <cellStyle name="Normal 10 6 3" xfId="6945" xr:uid="{12BC22AD-E053-4777-9699-9F99099A7DBC}"/>
    <cellStyle name="Normal 10 7" xfId="3958" xr:uid="{00000000-0005-0000-0000-0000130F0000}"/>
    <cellStyle name="Normal 10 7 2" xfId="7262" xr:uid="{378CAB1D-06BE-409D-A28A-8C15A1FC8587}"/>
    <cellStyle name="Normal 10 8" xfId="4189" xr:uid="{00000000-0005-0000-0000-0000140F0000}"/>
    <cellStyle name="Normal 10 8 2" xfId="7416" xr:uid="{D8AF4E72-DE89-4759-8A1A-0BBE4CB9F872}"/>
    <cellStyle name="Normal 10 9" xfId="5001" xr:uid="{00000000-0005-0000-0000-0000150F0000}"/>
    <cellStyle name="Normal 10 9 2" xfId="7969" xr:uid="{26E51B47-FD56-4957-B010-A10093838A9B}"/>
    <cellStyle name="Normal 11" xfId="398" xr:uid="{00000000-0005-0000-0000-0000160F0000}"/>
    <cellStyle name="Normal 11 2" xfId="399" xr:uid="{00000000-0005-0000-0000-0000170F0000}"/>
    <cellStyle name="Normal 11 2 2" xfId="3750" xr:uid="{00000000-0005-0000-0000-0000180F0000}"/>
    <cellStyle name="Normal 11 2 3" xfId="695" xr:uid="{00000000-0005-0000-0000-0000190F0000}"/>
    <cellStyle name="Normal 11 3" xfId="3749" xr:uid="{00000000-0005-0000-0000-00001A0F0000}"/>
    <cellStyle name="Normal 11 4" xfId="683" xr:uid="{00000000-0005-0000-0000-00001B0F0000}"/>
    <cellStyle name="Normal 11 5" xfId="5855" xr:uid="{00000000-0005-0000-0000-00001C0F0000}"/>
    <cellStyle name="Normal 12" xfId="400" xr:uid="{00000000-0005-0000-0000-00001D0F0000}"/>
    <cellStyle name="Normal 12 10" xfId="680" xr:uid="{00000000-0005-0000-0000-00001E0F0000}"/>
    <cellStyle name="Normal 12 10 2" xfId="6349" xr:uid="{22EE58C4-D8F5-4B7B-9F2E-EF818F73FD11}"/>
    <cellStyle name="Normal 12 11" xfId="5856" xr:uid="{00000000-0005-0000-0000-00001F0F0000}"/>
    <cellStyle name="Normal 12 12" xfId="6211" xr:uid="{A8B56DC6-1CEF-4738-ADAB-959F424844BA}"/>
    <cellStyle name="Normal 12 2" xfId="401" xr:uid="{00000000-0005-0000-0000-0000200F0000}"/>
    <cellStyle name="Normal 12 2 10" xfId="5857" xr:uid="{00000000-0005-0000-0000-0000210F0000}"/>
    <cellStyle name="Normal 12 2 10 2" xfId="8693" xr:uid="{1058D44E-399D-4378-B647-0C93796031EB}"/>
    <cellStyle name="Normal 12 2 11" xfId="6088" xr:uid="{00000000-0005-0000-0000-0000220F0000}"/>
    <cellStyle name="Normal 12 2 11 2" xfId="8878" xr:uid="{E63E2029-5CDF-4FFE-9169-2064D103E0CA}"/>
    <cellStyle name="Normal 12 2 12" xfId="6212" xr:uid="{35301B46-3C20-4EBB-A4FA-2218BD81EB97}"/>
    <cellStyle name="Normal 12 2 2" xfId="402" xr:uid="{00000000-0005-0000-0000-0000230F0000}"/>
    <cellStyle name="Normal 12 2 2 2" xfId="3404" xr:uid="{00000000-0005-0000-0000-0000240F0000}"/>
    <cellStyle name="Normal 12 2 2 2 2" xfId="4359" xr:uid="{00000000-0005-0000-0000-0000250F0000}"/>
    <cellStyle name="Normal 12 2 2 2 2 2" xfId="7586" xr:uid="{87775BD0-30AF-41C2-85C8-65EE8FDCEB61}"/>
    <cellStyle name="Normal 12 2 2 2 3" xfId="5170" xr:uid="{00000000-0005-0000-0000-0000260F0000}"/>
    <cellStyle name="Normal 12 2 2 2 3 2" xfId="8120" xr:uid="{AAB73E5D-93FC-4740-8B2B-CFD6B2D3CA33}"/>
    <cellStyle name="Normal 12 2 2 2 4" xfId="5335" xr:uid="{00000000-0005-0000-0000-0000270F0000}"/>
    <cellStyle name="Normal 12 2 2 2 4 2" xfId="8257" xr:uid="{FAE7850B-737B-47B7-9D33-6CD9D8827217}"/>
    <cellStyle name="Normal 12 2 2 2 5" xfId="7030" xr:uid="{06D80C0D-9E07-4B9D-A7E5-AC4207AB7D99}"/>
    <cellStyle name="Normal 12 2 2 3" xfId="4007" xr:uid="{00000000-0005-0000-0000-0000280F0000}"/>
    <cellStyle name="Normal 12 2 2 3 2" xfId="7311" xr:uid="{3501BD90-CC28-4CF9-8975-93D436159FB4}"/>
    <cellStyle name="Normal 12 2 2 4" xfId="4238" xr:uid="{00000000-0005-0000-0000-0000290F0000}"/>
    <cellStyle name="Normal 12 2 2 4 2" xfId="7465" xr:uid="{36BAD190-C9FB-45C5-AD81-FD0DFCCF8E78}"/>
    <cellStyle name="Normal 12 2 2 5" xfId="5065" xr:uid="{00000000-0005-0000-0000-00002A0F0000}"/>
    <cellStyle name="Normal 12 2 2 5 2" xfId="8022" xr:uid="{D422E452-2031-455A-A8EB-BB64B0B7D4EE}"/>
    <cellStyle name="Normal 12 2 2 6" xfId="5288" xr:uid="{00000000-0005-0000-0000-00002B0F0000}"/>
    <cellStyle name="Normal 12 2 2 6 2" xfId="8210" xr:uid="{072E4090-55D6-482F-8D6C-7D651CB8B5CB}"/>
    <cellStyle name="Normal 12 2 2 7" xfId="719" xr:uid="{00000000-0005-0000-0000-00002C0F0000}"/>
    <cellStyle name="Normal 12 2 2 7 2" xfId="6383" xr:uid="{02C021D6-FC4E-4651-AE7D-4A30F1295C90}"/>
    <cellStyle name="Normal 12 2 2 8" xfId="6213" xr:uid="{35D42CAE-6609-45FF-B7DD-89890B3BE502}"/>
    <cellStyle name="Normal 12 2 3" xfId="1706" xr:uid="{00000000-0005-0000-0000-00002D0F0000}"/>
    <cellStyle name="Normal 12 2 3 2" xfId="4006" xr:uid="{00000000-0005-0000-0000-00002E0F0000}"/>
    <cellStyle name="Normal 12 2 3 2 2" xfId="4358" xr:uid="{00000000-0005-0000-0000-00002F0F0000}"/>
    <cellStyle name="Normal 12 2 3 2 2 2" xfId="7585" xr:uid="{EF528B5B-DEC6-463D-8F7C-20DA40E99A2F}"/>
    <cellStyle name="Normal 12 2 3 2 3" xfId="7310" xr:uid="{A1D51784-9B25-477E-AA82-41403D2B31C5}"/>
    <cellStyle name="Normal 12 2 3 3" xfId="4237" xr:uid="{00000000-0005-0000-0000-0000300F0000}"/>
    <cellStyle name="Normal 12 2 3 3 2" xfId="7464" xr:uid="{D88EB94D-C196-462F-884A-C2FAE4F558BA}"/>
    <cellStyle name="Normal 12 2 3 4" xfId="5064" xr:uid="{00000000-0005-0000-0000-0000310F0000}"/>
    <cellStyle name="Normal 12 2 3 4 2" xfId="8021" xr:uid="{E9AA6227-E354-4F1E-86D9-1FE314A8297B}"/>
    <cellStyle name="Normal 12 2 3 5" xfId="5334" xr:uid="{00000000-0005-0000-0000-0000320F0000}"/>
    <cellStyle name="Normal 12 2 3 5 2" xfId="8256" xr:uid="{CBB5728F-5FC9-4326-BFEA-767D70D8A6B5}"/>
    <cellStyle name="Normal 12 2 3 6" xfId="6515" xr:uid="{72326E35-173C-4D91-B0E4-1D03DE24E979}"/>
    <cellStyle name="Normal 12 2 4" xfId="2911" xr:uid="{00000000-0005-0000-0000-0000330F0000}"/>
    <cellStyle name="Normal 12 2 4 2" xfId="4315" xr:uid="{00000000-0005-0000-0000-0000340F0000}"/>
    <cellStyle name="Normal 12 2 4 2 2" xfId="7542" xr:uid="{F9C79214-879A-40BB-933A-C897B6749B51}"/>
    <cellStyle name="Normal 12 2 4 3" xfId="6950" xr:uid="{D47609C3-4101-410B-AF3D-A53A409C3137}"/>
    <cellStyle name="Normal 12 2 5" xfId="3963" xr:uid="{00000000-0005-0000-0000-0000350F0000}"/>
    <cellStyle name="Normal 12 2 5 2" xfId="7267" xr:uid="{D47B170E-2711-4EA6-83BA-7A70624A6E10}"/>
    <cellStyle name="Normal 12 2 6" xfId="4194" xr:uid="{00000000-0005-0000-0000-0000360F0000}"/>
    <cellStyle name="Normal 12 2 6 2" xfId="7421" xr:uid="{A393F47C-EA0B-4ED8-92DA-CA8C29D3213B}"/>
    <cellStyle name="Normal 12 2 7" xfId="5006" xr:uid="{00000000-0005-0000-0000-0000370F0000}"/>
    <cellStyle name="Normal 12 2 7 2" xfId="7974" xr:uid="{EBDBDC7A-2E48-4DA4-A3D1-F7FFF107B2CD}"/>
    <cellStyle name="Normal 12 2 8" xfId="5267" xr:uid="{00000000-0005-0000-0000-0000380F0000}"/>
    <cellStyle name="Normal 12 2 8 2" xfId="8189" xr:uid="{4C38E25E-1B96-4CBC-BCAC-0F65B8B7AFA7}"/>
    <cellStyle name="Normal 12 2 9" xfId="696" xr:uid="{00000000-0005-0000-0000-0000390F0000}"/>
    <cellStyle name="Normal 12 2 9 2" xfId="6362" xr:uid="{EE89665B-97ED-41F1-B64B-08CFD65E0874}"/>
    <cellStyle name="Normal 12 3" xfId="403" xr:uid="{00000000-0005-0000-0000-00003A0F0000}"/>
    <cellStyle name="Normal 12 3 2" xfId="3406" xr:uid="{00000000-0005-0000-0000-00003B0F0000}"/>
    <cellStyle name="Normal 12 3 2 2" xfId="3815" xr:uid="{00000000-0005-0000-0000-00003C0F0000}"/>
    <cellStyle name="Normal 12 3 2 2 2" xfId="4360" xr:uid="{00000000-0005-0000-0000-00003D0F0000}"/>
    <cellStyle name="Normal 12 3 2 2 2 2" xfId="7587" xr:uid="{DCA9A9E8-63B0-41B2-A357-174AE4841675}"/>
    <cellStyle name="Normal 12 3 2 2 3" xfId="7243" xr:uid="{03F28135-0D15-4340-8FB9-48A260AE3444}"/>
    <cellStyle name="Normal 12 3 2 3" xfId="4008" xr:uid="{00000000-0005-0000-0000-00003E0F0000}"/>
    <cellStyle name="Normal 12 3 2 3 2" xfId="7312" xr:uid="{46878738-2537-4F39-9FB7-37551F66A6F9}"/>
    <cellStyle name="Normal 12 3 2 4" xfId="4239" xr:uid="{00000000-0005-0000-0000-00003F0F0000}"/>
    <cellStyle name="Normal 12 3 2 4 2" xfId="7466" xr:uid="{05B82B74-626F-4CB8-ACAF-A74EB6AD29BA}"/>
    <cellStyle name="Normal 12 3 2 5" xfId="4778" xr:uid="{00000000-0005-0000-0000-0000400F0000}"/>
    <cellStyle name="Normal 12 3 2 5 2" xfId="7848" xr:uid="{04692F1E-D9FD-4D39-9743-E7AD05DA986E}"/>
    <cellStyle name="Normal 12 3 2 6" xfId="5336" xr:uid="{00000000-0005-0000-0000-0000410F0000}"/>
    <cellStyle name="Normal 12 3 2 6 2" xfId="8258" xr:uid="{A625C803-C862-44C4-9A58-D078379CB0C8}"/>
    <cellStyle name="Normal 12 3 2 7" xfId="7031" xr:uid="{EDBB104F-CF38-4912-827F-80BE60348E1C}"/>
    <cellStyle name="Normal 12 3 3" xfId="3405" xr:uid="{00000000-0005-0000-0000-0000420F0000}"/>
    <cellStyle name="Normal 12 3 4" xfId="4748" xr:uid="{00000000-0005-0000-0000-0000430F0000}"/>
    <cellStyle name="Normal 12 3 4 2" xfId="5287" xr:uid="{00000000-0005-0000-0000-0000440F0000}"/>
    <cellStyle name="Normal 12 3 4 2 2" xfId="8209" xr:uid="{7487D067-E295-41D0-998A-801C549FCA88}"/>
    <cellStyle name="Normal 12 3 5" xfId="4747" xr:uid="{00000000-0005-0000-0000-0000450F0000}"/>
    <cellStyle name="Normal 12 3 5 2" xfId="7830" xr:uid="{5FCACE56-B03C-4A92-95FE-C1A9A3398C78}"/>
    <cellStyle name="Normal 12 3 6" xfId="718" xr:uid="{00000000-0005-0000-0000-0000460F0000}"/>
    <cellStyle name="Normal 12 3 6 2" xfId="6382" xr:uid="{03F3BE65-53EA-43AD-A9C0-D46278D5F824}"/>
    <cellStyle name="Normal 12 3 7" xfId="6214" xr:uid="{AF7854F2-BA6E-4EF7-A66E-612DB17F33FF}"/>
    <cellStyle name="Normal 12 4" xfId="1705" xr:uid="{00000000-0005-0000-0000-0000470F0000}"/>
    <cellStyle name="Normal 12 4 2" xfId="4005" xr:uid="{00000000-0005-0000-0000-0000480F0000}"/>
    <cellStyle name="Normal 12 4 2 2" xfId="4357" xr:uid="{00000000-0005-0000-0000-0000490F0000}"/>
    <cellStyle name="Normal 12 4 2 2 2" xfId="7584" xr:uid="{E3E831B3-4E6C-4582-B01E-41A8F6AA9703}"/>
    <cellStyle name="Normal 12 4 2 3" xfId="7309" xr:uid="{FA181B76-B5DC-42FB-9F65-B919F2C74FD2}"/>
    <cellStyle name="Normal 12 4 3" xfId="4236" xr:uid="{00000000-0005-0000-0000-00004A0F0000}"/>
    <cellStyle name="Normal 12 4 3 2" xfId="7463" xr:uid="{2F312ADB-9BBE-477B-82C5-759C71F88E8F}"/>
    <cellStyle name="Normal 12 4 4" xfId="5063" xr:uid="{00000000-0005-0000-0000-00004B0F0000}"/>
    <cellStyle name="Normal 12 4 4 2" xfId="8020" xr:uid="{15C3AEA4-55B3-44E6-B889-301CDDA06550}"/>
    <cellStyle name="Normal 12 4 5" xfId="5333" xr:uid="{00000000-0005-0000-0000-00004C0F0000}"/>
    <cellStyle name="Normal 12 4 5 2" xfId="8255" xr:uid="{85377BFE-2639-4790-AA7D-3C1A28981332}"/>
    <cellStyle name="Normal 12 4 6" xfId="6514" xr:uid="{B42DD648-09F4-49BB-B116-2876EA942691}"/>
    <cellStyle name="Normal 12 5" xfId="2910" xr:uid="{00000000-0005-0000-0000-00004D0F0000}"/>
    <cellStyle name="Normal 12 5 2" xfId="4314" xr:uid="{00000000-0005-0000-0000-00004E0F0000}"/>
    <cellStyle name="Normal 12 5 2 2" xfId="7541" xr:uid="{6E1B14A2-0224-47C9-BAD7-9E4E9198962F}"/>
    <cellStyle name="Normal 12 5 3" xfId="6949" xr:uid="{D01FD478-A1B3-41AA-AF64-78285FAB9BD2}"/>
    <cellStyle name="Normal 12 6" xfId="3962" xr:uid="{00000000-0005-0000-0000-00004F0F0000}"/>
    <cellStyle name="Normal 12 6 2" xfId="7266" xr:uid="{85202FAA-73F4-4B20-B957-4F6AF9633891}"/>
    <cellStyle name="Normal 12 7" xfId="4193" xr:uid="{00000000-0005-0000-0000-0000500F0000}"/>
    <cellStyle name="Normal 12 7 2" xfId="7420" xr:uid="{E3FF2EC9-D06A-4B97-95E4-B28560EE713A}"/>
    <cellStyle name="Normal 12 8" xfId="5005" xr:uid="{00000000-0005-0000-0000-0000510F0000}"/>
    <cellStyle name="Normal 12 8 2" xfId="7973" xr:uid="{8C6DE9DD-8B1F-4C4B-AEF3-DCDC71B3B685}"/>
    <cellStyle name="Normal 12 9" xfId="5254" xr:uid="{00000000-0005-0000-0000-0000520F0000}"/>
    <cellStyle name="Normal 12 9 2" xfId="8176" xr:uid="{05A6C873-0083-4B24-BACA-B850A5160F3B}"/>
    <cellStyle name="Normal 13" xfId="404" xr:uid="{00000000-0005-0000-0000-0000530F0000}"/>
    <cellStyle name="Normal 13 10" xfId="5858" xr:uid="{00000000-0005-0000-0000-0000540F0000}"/>
    <cellStyle name="Normal 13 10 2" xfId="8694" xr:uid="{F32A5A49-5F2C-45DB-98D3-10AB74D1D420}"/>
    <cellStyle name="Normal 13 11" xfId="6089" xr:uid="{00000000-0005-0000-0000-0000550F0000}"/>
    <cellStyle name="Normal 13 11 2" xfId="8879" xr:uid="{27158930-414D-475A-B2A9-0F8701BD0623}"/>
    <cellStyle name="Normal 13 12" xfId="6215" xr:uid="{26865450-0246-4E86-9B2E-B48EBDF5B7AB}"/>
    <cellStyle name="Normal 13 2" xfId="405" xr:uid="{00000000-0005-0000-0000-0000560F0000}"/>
    <cellStyle name="Normal 13 2 10" xfId="6216" xr:uid="{DEF53BDA-3DA3-4FFC-B11F-7C3D6BC843F3}"/>
    <cellStyle name="Normal 13 2 2" xfId="3407" xr:uid="{00000000-0005-0000-0000-0000570F0000}"/>
    <cellStyle name="Normal 13 2 2 2" xfId="4362" xr:uid="{00000000-0005-0000-0000-0000580F0000}"/>
    <cellStyle name="Normal 13 2 2 2 2" xfId="7589" xr:uid="{ECB1B3FE-F13A-484D-BD04-FA2D0523607F}"/>
    <cellStyle name="Normal 13 2 2 3" xfId="5171" xr:uid="{00000000-0005-0000-0000-0000590F0000}"/>
    <cellStyle name="Normal 13 2 2 3 2" xfId="8121" xr:uid="{0507D042-9C31-44C9-B7AB-BD3CC372513E}"/>
    <cellStyle name="Normal 13 2 2 4" xfId="5338" xr:uid="{00000000-0005-0000-0000-00005A0F0000}"/>
    <cellStyle name="Normal 13 2 2 4 2" xfId="8260" xr:uid="{DB251527-1DB9-442B-8F31-153D0689514C}"/>
    <cellStyle name="Normal 13 2 2 5" xfId="7032" xr:uid="{83430511-C1D8-4F99-9F2D-AB612E225FBF}"/>
    <cellStyle name="Normal 13 2 3" xfId="4010" xr:uid="{00000000-0005-0000-0000-00005B0F0000}"/>
    <cellStyle name="Normal 13 2 3 2" xfId="7314" xr:uid="{8DC2975C-D6BC-424A-B8E4-1A0E75F991B1}"/>
    <cellStyle name="Normal 13 2 4" xfId="4241" xr:uid="{00000000-0005-0000-0000-00005C0F0000}"/>
    <cellStyle name="Normal 13 2 4 2" xfId="7468" xr:uid="{9768AD37-AA89-4B46-9893-6D67D0392DAA}"/>
    <cellStyle name="Normal 13 2 5" xfId="5067" xr:uid="{00000000-0005-0000-0000-00005D0F0000}"/>
    <cellStyle name="Normal 13 2 5 2" xfId="8024" xr:uid="{A5A79221-C2AC-4447-A049-930315C33C01}"/>
    <cellStyle name="Normal 13 2 6" xfId="5289" xr:uid="{00000000-0005-0000-0000-00005E0F0000}"/>
    <cellStyle name="Normal 13 2 6 2" xfId="8211" xr:uid="{E680C8B7-B555-4A5D-B05C-CA89F90EB186}"/>
    <cellStyle name="Normal 13 2 7" xfId="720" xr:uid="{00000000-0005-0000-0000-00005F0F0000}"/>
    <cellStyle name="Normal 13 2 7 2" xfId="6384" xr:uid="{B955C8A3-3BD7-4561-B962-7FE052432AB4}"/>
    <cellStyle name="Normal 13 2 8" xfId="5859" xr:uid="{00000000-0005-0000-0000-0000600F0000}"/>
    <cellStyle name="Normal 13 2 8 2" xfId="8695" xr:uid="{DFD09F2C-26AE-4B0A-A887-A2841D945A25}"/>
    <cellStyle name="Normal 13 2 9" xfId="6090" xr:uid="{00000000-0005-0000-0000-0000610F0000}"/>
    <cellStyle name="Normal 13 2 9 2" xfId="8880" xr:uid="{EFF69402-ADB6-4CDA-9750-C2DD55F0443D}"/>
    <cellStyle name="Normal 13 3" xfId="1707" xr:uid="{00000000-0005-0000-0000-0000620F0000}"/>
    <cellStyle name="Normal 13 3 2" xfId="4009" xr:uid="{00000000-0005-0000-0000-0000630F0000}"/>
    <cellStyle name="Normal 13 3 2 2" xfId="4361" xr:uid="{00000000-0005-0000-0000-0000640F0000}"/>
    <cellStyle name="Normal 13 3 2 2 2" xfId="7588" xr:uid="{9168889A-F408-4560-8BBB-39D7D0F87102}"/>
    <cellStyle name="Normal 13 3 2 3" xfId="7313" xr:uid="{E19FC16F-138A-4897-84F5-E8FC4E27B7CF}"/>
    <cellStyle name="Normal 13 3 3" xfId="4240" xr:uid="{00000000-0005-0000-0000-0000650F0000}"/>
    <cellStyle name="Normal 13 3 3 2" xfId="7467" xr:uid="{3188A243-0077-4198-9580-CDE97546A42C}"/>
    <cellStyle name="Normal 13 3 4" xfId="5066" xr:uid="{00000000-0005-0000-0000-0000660F0000}"/>
    <cellStyle name="Normal 13 3 4 2" xfId="8023" xr:uid="{923E8939-4698-47B9-B0C4-0B2D36F6DE64}"/>
    <cellStyle name="Normal 13 3 5" xfId="5337" xr:uid="{00000000-0005-0000-0000-0000670F0000}"/>
    <cellStyle name="Normal 13 3 5 2" xfId="8259" xr:uid="{0D885521-ACF8-411F-8D0C-90A53D254C44}"/>
    <cellStyle name="Normal 13 3 6" xfId="6516" xr:uid="{07E28A72-1ABD-4C3F-A576-9ED3E23C5EF2}"/>
    <cellStyle name="Normal 13 4" xfId="2912" xr:uid="{00000000-0005-0000-0000-0000680F0000}"/>
    <cellStyle name="Normal 13 4 2" xfId="3964" xr:uid="{00000000-0005-0000-0000-0000690F0000}"/>
    <cellStyle name="Normal 13 4 2 2" xfId="7268" xr:uid="{BE56724B-90D0-476C-8F80-6267003ADE38}"/>
    <cellStyle name="Normal 13 4 3" xfId="4316" xr:uid="{00000000-0005-0000-0000-00006A0F0000}"/>
    <cellStyle name="Normal 13 4 3 2" xfId="7543" xr:uid="{4B77F505-32CF-451E-8D88-56C97CFAEFCB}"/>
    <cellStyle name="Normal 13 4 4" xfId="6951" xr:uid="{A27C941E-7E5C-4535-967E-7BBD0E48612D}"/>
    <cellStyle name="Normal 13 5" xfId="3903" xr:uid="{00000000-0005-0000-0000-00006B0F0000}"/>
    <cellStyle name="Normal 13 5 2" xfId="7254" xr:uid="{D4D3D398-C0DD-4D86-9B35-BB231EABBEA0}"/>
    <cellStyle name="Normal 13 6" xfId="4195" xr:uid="{00000000-0005-0000-0000-00006C0F0000}"/>
    <cellStyle name="Normal 13 6 2" xfId="7422" xr:uid="{F71A3B99-49A7-4453-A0DC-C8EE15DFF8AC}"/>
    <cellStyle name="Normal 13 7" xfId="5007" xr:uid="{00000000-0005-0000-0000-00006D0F0000}"/>
    <cellStyle name="Normal 13 7 2" xfId="7975" xr:uid="{C0E96416-A2C0-437B-88FD-12B7E978691D}"/>
    <cellStyle name="Normal 13 8" xfId="5264" xr:uid="{00000000-0005-0000-0000-00006E0F0000}"/>
    <cellStyle name="Normal 13 8 2" xfId="8186" xr:uid="{943F7259-0C42-402B-9448-4CB78D501BDE}"/>
    <cellStyle name="Normal 13 9" xfId="692" xr:uid="{00000000-0005-0000-0000-00006F0F0000}"/>
    <cellStyle name="Normal 13 9 2" xfId="6359" xr:uid="{92FE8627-9C2F-4153-82C4-B144E10AA696}"/>
    <cellStyle name="Normal 14" xfId="406" xr:uid="{00000000-0005-0000-0000-0000700F0000}"/>
    <cellStyle name="Normal 14 2" xfId="1708" xr:uid="{00000000-0005-0000-0000-0000710F0000}"/>
    <cellStyle name="Normal 14 2 2" xfId="3816" xr:uid="{00000000-0005-0000-0000-0000720F0000}"/>
    <cellStyle name="Normal 14 2 3" xfId="5861" xr:uid="{00000000-0005-0000-0000-0000730F0000}"/>
    <cellStyle name="Normal 14 2 3 2" xfId="8697" xr:uid="{21168D22-20F8-45B5-A623-9671FA611B18}"/>
    <cellStyle name="Normal 14 2 4" xfId="6092" xr:uid="{00000000-0005-0000-0000-0000740F0000}"/>
    <cellStyle name="Normal 14 2 4 2" xfId="8882" xr:uid="{1F2397BF-6038-4F21-A223-48FC23AA794A}"/>
    <cellStyle name="Normal 14 3" xfId="1709" xr:uid="{00000000-0005-0000-0000-0000750F0000}"/>
    <cellStyle name="Normal 14 3 2" xfId="3817" xr:uid="{00000000-0005-0000-0000-0000760F0000}"/>
    <cellStyle name="Normal 14 4" xfId="3408" xr:uid="{00000000-0005-0000-0000-0000770F0000}"/>
    <cellStyle name="Normal 14 5" xfId="3752" xr:uid="{00000000-0005-0000-0000-0000780F0000}"/>
    <cellStyle name="Normal 14 6" xfId="721" xr:uid="{00000000-0005-0000-0000-0000790F0000}"/>
    <cellStyle name="Normal 14 7" xfId="5860" xr:uid="{00000000-0005-0000-0000-00007A0F0000}"/>
    <cellStyle name="Normal 14 7 2" xfId="8696" xr:uid="{E69603EB-4321-4CDD-BE5D-033BE20460D1}"/>
    <cellStyle name="Normal 14 8" xfId="6091" xr:uid="{00000000-0005-0000-0000-00007B0F0000}"/>
    <cellStyle name="Normal 14 8 2" xfId="8881" xr:uid="{A9DF2562-EFAD-4708-A9AE-0D8CED83CF75}"/>
    <cellStyle name="Normal 15" xfId="407" xr:uid="{00000000-0005-0000-0000-00007C0F0000}"/>
    <cellStyle name="Normal 15 2" xfId="1711" xr:uid="{00000000-0005-0000-0000-00007D0F0000}"/>
    <cellStyle name="Normal 15 2 2" xfId="3409" xr:uid="{00000000-0005-0000-0000-00007E0F0000}"/>
    <cellStyle name="Normal 15 2 3" xfId="5862" xr:uid="{00000000-0005-0000-0000-00007F0F0000}"/>
    <cellStyle name="Normal 15 2 3 2" xfId="8698" xr:uid="{A40EFBEC-BFA1-41BA-B2C5-D1BEA9CB0D1F}"/>
    <cellStyle name="Normal 15 2 4" xfId="6093" xr:uid="{00000000-0005-0000-0000-0000800F0000}"/>
    <cellStyle name="Normal 15 2 4 2" xfId="8883" xr:uid="{2F77F4CB-8322-442A-B6CC-7EF236AC1937}"/>
    <cellStyle name="Normal 15 3" xfId="1712" xr:uid="{00000000-0005-0000-0000-0000810F0000}"/>
    <cellStyle name="Normal 15 4" xfId="1710" xr:uid="{00000000-0005-0000-0000-0000820F0000}"/>
    <cellStyle name="Normal 15 5" xfId="588" xr:uid="{00000000-0005-0000-0000-0000830F0000}"/>
    <cellStyle name="Normal 15 5 2" xfId="6304" xr:uid="{48DA1968-3989-4BE8-9AF5-239831968AC9}"/>
    <cellStyle name="Normal 16" xfId="1713" xr:uid="{00000000-0005-0000-0000-0000840F0000}"/>
    <cellStyle name="Normal 16 2" xfId="1714" xr:uid="{00000000-0005-0000-0000-0000850F0000}"/>
    <cellStyle name="Normal 16 2 2" xfId="3410" xr:uid="{00000000-0005-0000-0000-0000860F0000}"/>
    <cellStyle name="Normal 16 2 3" xfId="2310" xr:uid="{00000000-0005-0000-0000-0000870F0000}"/>
    <cellStyle name="Normal 16 2 3 2" xfId="6695" xr:uid="{AC37D673-6A58-423E-B397-412B5799A9FC}"/>
    <cellStyle name="Normal 16 3" xfId="2798" xr:uid="{00000000-0005-0000-0000-0000880F0000}"/>
    <cellStyle name="Normal 16 4" xfId="2371" xr:uid="{00000000-0005-0000-0000-0000890F0000}"/>
    <cellStyle name="Normal 16 4 2" xfId="4750" xr:uid="{00000000-0005-0000-0000-00008A0F0000}"/>
    <cellStyle name="Normal 16 4 3" xfId="6718" xr:uid="{B6BAA0E6-86A2-463D-A613-065C45B85FBD}"/>
    <cellStyle name="Normal 16 5" xfId="4749" xr:uid="{00000000-0005-0000-0000-00008B0F0000}"/>
    <cellStyle name="Normal 16 6" xfId="5863" xr:uid="{00000000-0005-0000-0000-00008C0F0000}"/>
    <cellStyle name="Normal 16 6 2" xfId="8699" xr:uid="{A1C0C012-31CB-46CE-B1E8-047C86EB6E79}"/>
    <cellStyle name="Normal 16 7" xfId="6094" xr:uid="{00000000-0005-0000-0000-00008D0F0000}"/>
    <cellStyle name="Normal 16 7 2" xfId="8884" xr:uid="{D9EE9234-8C30-428E-8243-A84C47E416EA}"/>
    <cellStyle name="Normal 17" xfId="1715" xr:uid="{00000000-0005-0000-0000-00008E0F0000}"/>
    <cellStyle name="Normal 17 2" xfId="3549" xr:uid="{00000000-0005-0000-0000-00008F0F0000}"/>
    <cellStyle name="Normal 17 2 2" xfId="4428" xr:uid="{00000000-0005-0000-0000-0000900F0000}"/>
    <cellStyle name="Normal 17 2 2 2" xfId="7655" xr:uid="{E626E44E-381B-4CEC-8369-2974E54A2C50}"/>
    <cellStyle name="Normal 17 2 3" xfId="4752" xr:uid="{00000000-0005-0000-0000-0000910F0000}"/>
    <cellStyle name="Normal 17 2 4" xfId="7096" xr:uid="{400843B8-67CE-4781-A3C2-721C583E0770}"/>
    <cellStyle name="Normal 17 3" xfId="4077" xr:uid="{00000000-0005-0000-0000-0000920F0000}"/>
    <cellStyle name="Normal 17 3 2" xfId="7380" xr:uid="{3CDCE01E-7146-4D1A-A457-989FEF7BCAFD}"/>
    <cellStyle name="Normal 17 4" xfId="4307" xr:uid="{00000000-0005-0000-0000-0000930F0000}"/>
    <cellStyle name="Normal 17 4 2" xfId="7534" xr:uid="{01332CFF-3990-49B3-8657-DD977C2B7506}"/>
    <cellStyle name="Normal 17 5" xfId="4751" xr:uid="{00000000-0005-0000-0000-0000940F0000}"/>
    <cellStyle name="Normal 17 5 2" xfId="5137" xr:uid="{00000000-0005-0000-0000-0000950F0000}"/>
    <cellStyle name="Normal 17 5 2 2" xfId="8088" xr:uid="{8531291B-C470-44FA-A2A9-116BBD1A3D37}"/>
    <cellStyle name="Normal 17 6" xfId="5131" xr:uid="{00000000-0005-0000-0000-0000960F0000}"/>
    <cellStyle name="Normal 17 6 2" xfId="8086" xr:uid="{C1EA7A1C-3F8D-4A6B-97C3-8761D7286CAC}"/>
    <cellStyle name="Normal 17 7" xfId="5864" xr:uid="{00000000-0005-0000-0000-0000970F0000}"/>
    <cellStyle name="Normal 17 7 2" xfId="8700" xr:uid="{A9FAC00C-3371-4013-92A8-2D25D59A4FCA}"/>
    <cellStyle name="Normal 17 8" xfId="6095" xr:uid="{00000000-0005-0000-0000-0000980F0000}"/>
    <cellStyle name="Normal 17 8 2" xfId="8885" xr:uid="{7FA0519A-9F39-4126-8BD1-649FA467DC7A}"/>
    <cellStyle name="Normal 18" xfId="784" xr:uid="{00000000-0005-0000-0000-0000990F0000}"/>
    <cellStyle name="Normal 18 2" xfId="2615" xr:uid="{00000000-0005-0000-0000-00009A0F0000}"/>
    <cellStyle name="Normal 18 3" xfId="4753" xr:uid="{00000000-0005-0000-0000-00009B0F0000}"/>
    <cellStyle name="Normal 18 4" xfId="6423" xr:uid="{3B31DDCE-7EE7-4C05-9867-1137A0D1D2E9}"/>
    <cellStyle name="Normal 19" xfId="2002" xr:uid="{00000000-0005-0000-0000-00009C0F0000}"/>
    <cellStyle name="Normal 19 2" xfId="4755" xr:uid="{00000000-0005-0000-0000-00009D0F0000}"/>
    <cellStyle name="Normal 19 2 2" xfId="5866" xr:uid="{00000000-0005-0000-0000-00009E0F0000}"/>
    <cellStyle name="Normal 19 2 2 2" xfId="8702" xr:uid="{F2C07FA4-E386-42C6-BD88-79DDAFB46D0D}"/>
    <cellStyle name="Normal 19 2 3" xfId="6097" xr:uid="{00000000-0005-0000-0000-00009F0F0000}"/>
    <cellStyle name="Normal 19 2 3 2" xfId="8887" xr:uid="{FD85EC75-09D8-4CCF-8F81-974B11D1A684}"/>
    <cellStyle name="Normal 19 3" xfId="4754" xr:uid="{00000000-0005-0000-0000-0000A00F0000}"/>
    <cellStyle name="Normal 19 4" xfId="4163" xr:uid="{00000000-0005-0000-0000-0000A10F0000}"/>
    <cellStyle name="Normal 19 5" xfId="5865" xr:uid="{00000000-0005-0000-0000-0000A20F0000}"/>
    <cellStyle name="Normal 19 5 2" xfId="8701" xr:uid="{1E1A4C07-8108-4D6C-B7BA-24843001F4D2}"/>
    <cellStyle name="Normal 19 6" xfId="6096" xr:uid="{00000000-0005-0000-0000-0000A30F0000}"/>
    <cellStyle name="Normal 19 6 2" xfId="8886" xr:uid="{9A52E386-53F0-4A24-8392-B00F921FFDE6}"/>
    <cellStyle name="Normal 2" xfId="408" xr:uid="{00000000-0005-0000-0000-0000A40F0000}"/>
    <cellStyle name="Normal 2 2" xfId="409" xr:uid="{00000000-0005-0000-0000-0000A50F0000}"/>
    <cellStyle name="Normal 2 2 2" xfId="410" xr:uid="{00000000-0005-0000-0000-0000A60F0000}"/>
    <cellStyle name="Normal 2 2 2 2" xfId="3411" xr:uid="{00000000-0005-0000-0000-0000A70F0000}"/>
    <cellStyle name="Normal 2 2 2 2 2" xfId="3818" xr:uid="{00000000-0005-0000-0000-0000A80F0000}"/>
    <cellStyle name="Normal 2 2 2 3" xfId="3412" xr:uid="{00000000-0005-0000-0000-0000A90F0000}"/>
    <cellStyle name="Normal 2 2 2 3 2" xfId="3819" xr:uid="{00000000-0005-0000-0000-0000AA0F0000}"/>
    <cellStyle name="Normal 2 2 2 4" xfId="2307" xr:uid="{00000000-0005-0000-0000-0000AB0F0000}"/>
    <cellStyle name="Normal 2 2 2 5" xfId="661" xr:uid="{00000000-0005-0000-0000-0000AC0F0000}"/>
    <cellStyle name="Normal 2 2 3" xfId="1716" xr:uid="{00000000-0005-0000-0000-0000AD0F0000}"/>
    <cellStyle name="Normal 2 2 3 2" xfId="3413" xr:uid="{00000000-0005-0000-0000-0000AE0F0000}"/>
    <cellStyle name="Normal 2 2 3 2 2" xfId="3820" xr:uid="{00000000-0005-0000-0000-0000AF0F0000}"/>
    <cellStyle name="Normal 2 2 3 2 3" xfId="5219" xr:uid="{00000000-0005-0000-0000-0000B00F0000}"/>
    <cellStyle name="Normal 2 2 3 3" xfId="3753" xr:uid="{00000000-0005-0000-0000-0000B10F0000}"/>
    <cellStyle name="Normal 2 2 4" xfId="1717" xr:uid="{00000000-0005-0000-0000-0000B20F0000}"/>
    <cellStyle name="Normal 2 2 4 2" xfId="2309" xr:uid="{00000000-0005-0000-0000-0000B30F0000}"/>
    <cellStyle name="Normal 2 2 4 3" xfId="4757" xr:uid="{00000000-0005-0000-0000-0000B40F0000}"/>
    <cellStyle name="Normal 2 2 5" xfId="623" xr:uid="{00000000-0005-0000-0000-0000B50F0000}"/>
    <cellStyle name="Normal 2 2 5 2" xfId="5867" xr:uid="{00000000-0005-0000-0000-0000B60F0000}"/>
    <cellStyle name="Normal 2 2 5 2 2" xfId="8703" xr:uid="{029AAA50-1BE9-4896-B88E-5286DB22D118}"/>
    <cellStyle name="Normal 2 2 5 3" xfId="6098" xr:uid="{00000000-0005-0000-0000-0000B70F0000}"/>
    <cellStyle name="Normal 2 2 5 3 2" xfId="8888" xr:uid="{5959FB72-69C7-41C7-886D-AFBB89E4690A}"/>
    <cellStyle name="Normal 2 3" xfId="411" xr:uid="{00000000-0005-0000-0000-0000B80F0000}"/>
    <cellStyle name="Normal 2 3 2" xfId="2306" xr:uid="{00000000-0005-0000-0000-0000B90F0000}"/>
    <cellStyle name="Normal 2 3 3" xfId="622" xr:uid="{00000000-0005-0000-0000-0000BA0F0000}"/>
    <cellStyle name="Normal 2 3 3 2" xfId="5868" xr:uid="{00000000-0005-0000-0000-0000BB0F0000}"/>
    <cellStyle name="Normal 2 3 4" xfId="5869" xr:uid="{00000000-0005-0000-0000-0000BC0F0000}"/>
    <cellStyle name="Normal 2 4" xfId="412" xr:uid="{00000000-0005-0000-0000-0000BD0F0000}"/>
    <cellStyle name="Normal 2 4 2" xfId="2605" xr:uid="{00000000-0005-0000-0000-0000BE0F0000}"/>
    <cellStyle name="Normal 2 4 3" xfId="2604" xr:uid="{00000000-0005-0000-0000-0000BF0F0000}"/>
    <cellStyle name="Normal 2 4 3 2" xfId="5870" xr:uid="{00000000-0005-0000-0000-0000C00F0000}"/>
    <cellStyle name="Normal 2 4 4" xfId="608" xr:uid="{00000000-0005-0000-0000-0000C10F0000}"/>
    <cellStyle name="Normal 2 4 4 2" xfId="5871" xr:uid="{00000000-0005-0000-0000-0000C20F0000}"/>
    <cellStyle name="Normal 2 5" xfId="413" xr:uid="{00000000-0005-0000-0000-0000C30F0000}"/>
    <cellStyle name="Normal 2 5 2" xfId="1719" xr:uid="{00000000-0005-0000-0000-0000C40F0000}"/>
    <cellStyle name="Normal 2 5 2 2" xfId="3415" xr:uid="{00000000-0005-0000-0000-0000C50F0000}"/>
    <cellStyle name="Normal 2 5 2 2 2" xfId="4761" xr:uid="{00000000-0005-0000-0000-0000C60F0000}"/>
    <cellStyle name="Normal 2 5 2 2 3" xfId="4760" xr:uid="{00000000-0005-0000-0000-0000C70F0000}"/>
    <cellStyle name="Normal 2 5 2 2 3 2" xfId="7833" xr:uid="{B0C56CDF-8738-41FE-81FC-21896B9A63D3}"/>
    <cellStyle name="Normal 2 5 2 3" xfId="2784" xr:uid="{00000000-0005-0000-0000-0000C80F0000}"/>
    <cellStyle name="Normal 2 5 2 3 2" xfId="4762" xr:uid="{00000000-0005-0000-0000-0000C90F0000}"/>
    <cellStyle name="Normal 2 5 2 3 3" xfId="6925" xr:uid="{FDDDD802-6D6D-478A-9218-EE4CDC609167}"/>
    <cellStyle name="Normal 2 5 2 4" xfId="4759" xr:uid="{00000000-0005-0000-0000-0000CA0F0000}"/>
    <cellStyle name="Normal 2 5 2 5" xfId="5872" xr:uid="{00000000-0005-0000-0000-0000CB0F0000}"/>
    <cellStyle name="Normal 2 5 2 5 2" xfId="8704" xr:uid="{ED77264B-8C6A-4B53-9D73-4C43B23E1ED2}"/>
    <cellStyle name="Normal 2 5 2 6" xfId="6099" xr:uid="{00000000-0005-0000-0000-0000CC0F0000}"/>
    <cellStyle name="Normal 2 5 2 6 2" xfId="8889" xr:uid="{95C29259-2431-44CF-9809-67797CF6AE93}"/>
    <cellStyle name="Normal 2 5 3" xfId="3414" xr:uid="{00000000-0005-0000-0000-0000CD0F0000}"/>
    <cellStyle name="Normal 2 5 4" xfId="4758" xr:uid="{00000000-0005-0000-0000-0000CE0F0000}"/>
    <cellStyle name="Normal 2 5 4 2" xfId="7832" xr:uid="{FAC7BBCE-CEEA-460F-A4AD-A9E17A6872D8}"/>
    <cellStyle name="Normal 2 5 5" xfId="5009" xr:uid="{00000000-0005-0000-0000-0000CF0F0000}"/>
    <cellStyle name="Normal 2 5 5 2" xfId="7976" xr:uid="{7E6C7EAC-83A3-4D79-84AC-BBF7A5957B28}"/>
    <cellStyle name="Normal 2 5 6" xfId="1718" xr:uid="{00000000-0005-0000-0000-0000D00F0000}"/>
    <cellStyle name="Normal 2 5 6 2" xfId="6517" xr:uid="{63E0D13B-3965-4A6A-AA15-615F6ED46820}"/>
    <cellStyle name="Normal 2 6" xfId="1720" xr:uid="{00000000-0005-0000-0000-0000D10F0000}"/>
    <cellStyle name="Normal 2 6 2" xfId="3546" xr:uid="{00000000-0005-0000-0000-0000D20F0000}"/>
    <cellStyle name="Normal 2 6 2 2" xfId="4427" xr:uid="{00000000-0005-0000-0000-0000D30F0000}"/>
    <cellStyle name="Normal 2 6 2 2 2" xfId="7654" xr:uid="{8615892D-6BED-4579-8411-7AE4CD260A06}"/>
    <cellStyle name="Normal 2 6 2 3" xfId="7095" xr:uid="{6EBD69E6-0C8C-4774-A855-69E380EC8B09}"/>
    <cellStyle name="Normal 2 6 3" xfId="4076" xr:uid="{00000000-0005-0000-0000-0000D40F0000}"/>
    <cellStyle name="Normal 2 6 3 2" xfId="7379" xr:uid="{F3FCDE3D-1467-499C-8CE2-EE5E1B2924D5}"/>
    <cellStyle name="Normal 2 6 4" xfId="4306" xr:uid="{00000000-0005-0000-0000-0000D50F0000}"/>
    <cellStyle name="Normal 2 6 4 2" xfId="7533" xr:uid="{A8B032C9-BF5A-4224-A04E-094CE818B946}"/>
    <cellStyle name="Normal 2 6 5" xfId="5130" xr:uid="{00000000-0005-0000-0000-0000D60F0000}"/>
    <cellStyle name="Normal 2 6 5 2" xfId="8085" xr:uid="{2EE184DE-0EE2-48BE-B14A-E0C1602C6B34}"/>
    <cellStyle name="Normal 2 6 6" xfId="5403" xr:uid="{00000000-0005-0000-0000-0000D70F0000}"/>
    <cellStyle name="Normal 2 6 6 2" xfId="8325" xr:uid="{4608E36D-1739-4439-B002-00B603696305}"/>
    <cellStyle name="Normal 2 6 7" xfId="5178" xr:uid="{00000000-0005-0000-0000-0000D80F0000}"/>
    <cellStyle name="Normal 2 6 8" xfId="5873" xr:uid="{00000000-0005-0000-0000-0000D90F0000}"/>
    <cellStyle name="Normal 2 7" xfId="2914" xr:uid="{00000000-0005-0000-0000-0000DA0F0000}"/>
    <cellStyle name="Normal 2 8" xfId="3603" xr:uid="{00000000-0005-0000-0000-0000DB0F0000}"/>
    <cellStyle name="Normal 2 8 2" xfId="2559" xr:uid="{00000000-0005-0000-0000-0000DC0F0000}"/>
    <cellStyle name="Normal 2 8 3" xfId="7104" xr:uid="{66AE93AB-CAE8-4179-A614-A29CAADA2DF6}"/>
    <cellStyle name="Normal 2 9" xfId="598" xr:uid="{00000000-0005-0000-0000-0000DD0F0000}"/>
    <cellStyle name="Normal 2_MFPE 2 VL 2009 12 31" xfId="2607" xr:uid="{00000000-0005-0000-0000-0000DE0F0000}"/>
    <cellStyle name="Normal 20" xfId="4110" xr:uid="{00000000-0005-0000-0000-0000DF0F0000}"/>
    <cellStyle name="Normal 20 2" xfId="4763" xr:uid="{00000000-0005-0000-0000-0000E00F0000}"/>
    <cellStyle name="Normal 20 3" xfId="5874" xr:uid="{00000000-0005-0000-0000-0000E10F0000}"/>
    <cellStyle name="Normal 21" xfId="4161" xr:uid="{00000000-0005-0000-0000-0000E20F0000}"/>
    <cellStyle name="Normal 22" xfId="4160" xr:uid="{00000000-0005-0000-0000-0000E30F0000}"/>
    <cellStyle name="Normal 23" xfId="4109" xr:uid="{00000000-0005-0000-0000-0000E40F0000}"/>
    <cellStyle name="Normal 24" xfId="4108" xr:uid="{00000000-0005-0000-0000-0000E50F0000}"/>
    <cellStyle name="Normal 25" xfId="4107" xr:uid="{00000000-0005-0000-0000-0000E60F0000}"/>
    <cellStyle name="Normal 26" xfId="4159" xr:uid="{00000000-0005-0000-0000-0000E70F0000}"/>
    <cellStyle name="Normal 27" xfId="4106" xr:uid="{00000000-0005-0000-0000-0000E80F0000}"/>
    <cellStyle name="Normal 28" xfId="4157" xr:uid="{00000000-0005-0000-0000-0000E90F0000}"/>
    <cellStyle name="Normal 29" xfId="4141" xr:uid="{00000000-0005-0000-0000-0000EA0F0000}"/>
    <cellStyle name="Normal 3" xfId="414" xr:uid="{00000000-0005-0000-0000-0000EB0F0000}"/>
    <cellStyle name="Normal 3 10" xfId="5875" xr:uid="{00000000-0005-0000-0000-0000EC0F0000}"/>
    <cellStyle name="Normal 3 2" xfId="415" xr:uid="{00000000-0005-0000-0000-0000ED0F0000}"/>
    <cellStyle name="Normal 3 2 2" xfId="2094" xr:uid="{00000000-0005-0000-0000-0000EE0F0000}"/>
    <cellStyle name="Normal 3 2 2 2" xfId="3622" xr:uid="{00000000-0005-0000-0000-0000EF0F0000}"/>
    <cellStyle name="Normal 3 2 3" xfId="2303" xr:uid="{00000000-0005-0000-0000-0000F00F0000}"/>
    <cellStyle name="Normal 3 2 4" xfId="663" xr:uid="{00000000-0005-0000-0000-0000F10F0000}"/>
    <cellStyle name="Normal 3 3" xfId="416" xr:uid="{00000000-0005-0000-0000-0000F20F0000}"/>
    <cellStyle name="Normal 3 3 10" xfId="5010" xr:uid="{00000000-0005-0000-0000-0000F30F0000}"/>
    <cellStyle name="Normal 3 3 10 2" xfId="7977" xr:uid="{67CC66B2-2CC3-498D-B6FF-5B4A12EB2DBE}"/>
    <cellStyle name="Normal 3 3 11" xfId="5250" xr:uid="{00000000-0005-0000-0000-0000F40F0000}"/>
    <cellStyle name="Normal 3 3 11 2" xfId="8172" xr:uid="{59EDFE8D-DAC4-4164-B021-25AB5AAEE5FF}"/>
    <cellStyle name="Normal 3 3 12" xfId="662" xr:uid="{00000000-0005-0000-0000-0000F50F0000}"/>
    <cellStyle name="Normal 3 3 12 2" xfId="6337" xr:uid="{4FDAD5D1-88BE-4786-83A6-FD7837817E55}"/>
    <cellStyle name="Normal 3 3 13" xfId="5876" xr:uid="{00000000-0005-0000-0000-0000F60F0000}"/>
    <cellStyle name="Normal 3 3 13 2" xfId="8705" xr:uid="{4DD1B4C9-CCE1-4AF1-AABD-952C0AD4F8C1}"/>
    <cellStyle name="Normal 3 3 14" xfId="6100" xr:uid="{00000000-0005-0000-0000-0000F70F0000}"/>
    <cellStyle name="Normal 3 3 14 2" xfId="8890" xr:uid="{35540361-9C93-422D-920A-48194C30F96D}"/>
    <cellStyle name="Normal 3 3 15" xfId="6217" xr:uid="{CF44BB1B-FCE6-4CDB-970B-3AA435E2F61D}"/>
    <cellStyle name="Normal 3 3 2" xfId="417" xr:uid="{00000000-0005-0000-0000-0000F80F0000}"/>
    <cellStyle name="Normal 3 3 2 10" xfId="5252" xr:uid="{00000000-0005-0000-0000-0000F90F0000}"/>
    <cellStyle name="Normal 3 3 2 10 2" xfId="8174" xr:uid="{BEE15078-0E08-4C78-8FB2-10234155F045}"/>
    <cellStyle name="Normal 3 3 2 11" xfId="678" xr:uid="{00000000-0005-0000-0000-0000FA0F0000}"/>
    <cellStyle name="Normal 3 3 2 11 2" xfId="6347" xr:uid="{6155AB84-ABC0-41C6-BEFE-46CEA5279E33}"/>
    <cellStyle name="Normal 3 3 2 12" xfId="5877" xr:uid="{00000000-0005-0000-0000-0000FB0F0000}"/>
    <cellStyle name="Normal 3 3 2 12 2" xfId="8706" xr:uid="{2C94AC69-A2CF-4A28-8B8B-7AC91C3C6695}"/>
    <cellStyle name="Normal 3 3 2 13" xfId="6101" xr:uid="{00000000-0005-0000-0000-0000FC0F0000}"/>
    <cellStyle name="Normal 3 3 2 13 2" xfId="8891" xr:uid="{B702EF31-C7EA-4A97-8918-9D68F0B5A878}"/>
    <cellStyle name="Normal 3 3 2 14" xfId="6218" xr:uid="{58FB0D69-403D-4752-9469-C6160F9F0A00}"/>
    <cellStyle name="Normal 3 3 2 2" xfId="418" xr:uid="{00000000-0005-0000-0000-0000FD0F0000}"/>
    <cellStyle name="Normal 3 3 2 2 10" xfId="690" xr:uid="{00000000-0005-0000-0000-0000FE0F0000}"/>
    <cellStyle name="Normal 3 3 2 2 10 2" xfId="6357" xr:uid="{99C57136-38CD-4BD7-A31F-A1ED8630089E}"/>
    <cellStyle name="Normal 3 3 2 2 11" xfId="5878" xr:uid="{00000000-0005-0000-0000-0000FF0F0000}"/>
    <cellStyle name="Normal 3 3 2 2 11 2" xfId="8707" xr:uid="{5DF2A1C2-3E70-429A-AB2B-F4C1157B84D0}"/>
    <cellStyle name="Normal 3 3 2 2 12" xfId="6102" xr:uid="{00000000-0005-0000-0000-000000100000}"/>
    <cellStyle name="Normal 3 3 2 2 12 2" xfId="8892" xr:uid="{245FE1D8-3ED7-451D-ABB4-1836DD4A1282}"/>
    <cellStyle name="Normal 3 3 2 2 13" xfId="6219" xr:uid="{12DA5DE5-04B0-4195-B4C3-95CA1F58719A}"/>
    <cellStyle name="Normal 3 3 2 2 2" xfId="419" xr:uid="{00000000-0005-0000-0000-000001100000}"/>
    <cellStyle name="Normal 3 3 2 2 2 10" xfId="5879" xr:uid="{00000000-0005-0000-0000-000002100000}"/>
    <cellStyle name="Normal 3 3 2 2 2 10 2" xfId="8708" xr:uid="{644B027D-1186-4445-8F4C-3795FE9C0DE1}"/>
    <cellStyle name="Normal 3 3 2 2 2 11" xfId="6103" xr:uid="{00000000-0005-0000-0000-000003100000}"/>
    <cellStyle name="Normal 3 3 2 2 2 11 2" xfId="8893" xr:uid="{935609ED-8A20-4639-A55D-7F854768DC19}"/>
    <cellStyle name="Normal 3 3 2 2 2 12" xfId="6220" xr:uid="{71738C91-7DFD-4E2A-B7FB-ABED48D9641E}"/>
    <cellStyle name="Normal 3 3 2 2 2 2" xfId="420" xr:uid="{00000000-0005-0000-0000-000004100000}"/>
    <cellStyle name="Normal 3 3 2 2 2 2 2" xfId="3418" xr:uid="{00000000-0005-0000-0000-000005100000}"/>
    <cellStyle name="Normal 3 3 2 2 2 2 2 2" xfId="4367" xr:uid="{00000000-0005-0000-0000-000006100000}"/>
    <cellStyle name="Normal 3 3 2 2 2 2 2 2 2" xfId="7594" xr:uid="{FF00978A-B9CE-4287-9D35-F8CBF985CF1C}"/>
    <cellStyle name="Normal 3 3 2 2 2 2 2 3" xfId="5173" xr:uid="{00000000-0005-0000-0000-000007100000}"/>
    <cellStyle name="Normal 3 3 2 2 2 2 2 3 2" xfId="8122" xr:uid="{7A365726-00AD-472E-BE21-8A4F7E700771}"/>
    <cellStyle name="Normal 3 3 2 2 2 2 2 4" xfId="5343" xr:uid="{00000000-0005-0000-0000-000008100000}"/>
    <cellStyle name="Normal 3 3 2 2 2 2 2 4 2" xfId="8265" xr:uid="{696F9B18-02B8-43B1-BCF5-AF30D156A143}"/>
    <cellStyle name="Normal 3 3 2 2 2 2 2 5" xfId="7033" xr:uid="{18757DC4-45F9-4118-8281-D5CD75A3326A}"/>
    <cellStyle name="Normal 3 3 2 2 2 2 3" xfId="4015" xr:uid="{00000000-0005-0000-0000-000009100000}"/>
    <cellStyle name="Normal 3 3 2 2 2 2 3 2" xfId="7319" xr:uid="{FA4C07EC-9980-45A5-B276-EF99D5DA2796}"/>
    <cellStyle name="Normal 3 3 2 2 2 2 4" xfId="4246" xr:uid="{00000000-0005-0000-0000-00000A100000}"/>
    <cellStyle name="Normal 3 3 2 2 2 2 4 2" xfId="7473" xr:uid="{A162D602-42A7-48A7-9EB2-4F76E0D68DF5}"/>
    <cellStyle name="Normal 3 3 2 2 2 2 5" xfId="5072" xr:uid="{00000000-0005-0000-0000-00000B100000}"/>
    <cellStyle name="Normal 3 3 2 2 2 2 5 2" xfId="8029" xr:uid="{C20AA32E-5264-44E8-80A6-0B708994A721}"/>
    <cellStyle name="Normal 3 3 2 2 2 2 6" xfId="5293" xr:uid="{00000000-0005-0000-0000-00000C100000}"/>
    <cellStyle name="Normal 3 3 2 2 2 2 6 2" xfId="8215" xr:uid="{ED898BEF-95B5-425E-8EF7-76FD82AB5FB7}"/>
    <cellStyle name="Normal 3 3 2 2 2 2 7" xfId="725" xr:uid="{00000000-0005-0000-0000-00000D100000}"/>
    <cellStyle name="Normal 3 3 2 2 2 2 7 2" xfId="6388" xr:uid="{CBB8F7BA-E77A-4C29-A942-3EE0CA97AFAA}"/>
    <cellStyle name="Normal 3 3 2 2 2 2 8" xfId="6221" xr:uid="{8E25C43F-8B35-45C5-BC1A-45CC10B0DED4}"/>
    <cellStyle name="Normal 3 3 2 2 2 3" xfId="1724" xr:uid="{00000000-0005-0000-0000-00000E100000}"/>
    <cellStyle name="Normal 3 3 2 2 2 3 2" xfId="4014" xr:uid="{00000000-0005-0000-0000-00000F100000}"/>
    <cellStyle name="Normal 3 3 2 2 2 3 2 2" xfId="4366" xr:uid="{00000000-0005-0000-0000-000010100000}"/>
    <cellStyle name="Normal 3 3 2 2 2 3 2 2 2" xfId="7593" xr:uid="{1C2A50C2-841B-4127-AF69-4006C7D9604B}"/>
    <cellStyle name="Normal 3 3 2 2 2 3 2 3" xfId="7318" xr:uid="{8558DF45-F01E-48D6-A1E4-41C77F04DBA3}"/>
    <cellStyle name="Normal 3 3 2 2 2 3 3" xfId="4245" xr:uid="{00000000-0005-0000-0000-000011100000}"/>
    <cellStyle name="Normal 3 3 2 2 2 3 3 2" xfId="7472" xr:uid="{51C6EB10-A0BE-41A4-BA39-AA9D4050A80E}"/>
    <cellStyle name="Normal 3 3 2 2 2 3 4" xfId="5071" xr:uid="{00000000-0005-0000-0000-000012100000}"/>
    <cellStyle name="Normal 3 3 2 2 2 3 4 2" xfId="8028" xr:uid="{C374FBC7-FE8D-4CD7-B702-64650772C1B2}"/>
    <cellStyle name="Normal 3 3 2 2 2 3 5" xfId="5342" xr:uid="{00000000-0005-0000-0000-000013100000}"/>
    <cellStyle name="Normal 3 3 2 2 2 3 5 2" xfId="8264" xr:uid="{E1332E6E-EEBD-48E9-A4C6-3309C6A28539}"/>
    <cellStyle name="Normal 3 3 2 2 2 3 6" xfId="6521" xr:uid="{A50EF9D7-8B7C-4824-9925-A03F997FD639}"/>
    <cellStyle name="Normal 3 3 2 2 2 4" xfId="2919" xr:uid="{00000000-0005-0000-0000-000014100000}"/>
    <cellStyle name="Normal 3 3 2 2 2 4 2" xfId="4320" xr:uid="{00000000-0005-0000-0000-000015100000}"/>
    <cellStyle name="Normal 3 3 2 2 2 4 2 2" xfId="7547" xr:uid="{B1B47A5D-4A90-492E-A857-4326B909062A}"/>
    <cellStyle name="Normal 3 3 2 2 2 4 3" xfId="6956" xr:uid="{3BA1F6FF-8787-4731-8C39-BA0AE854BA5D}"/>
    <cellStyle name="Normal 3 3 2 2 2 5" xfId="3968" xr:uid="{00000000-0005-0000-0000-000016100000}"/>
    <cellStyle name="Normal 3 3 2 2 2 5 2" xfId="7272" xr:uid="{CE198E47-22F2-4AB7-AC3A-5B40319FE6A4}"/>
    <cellStyle name="Normal 3 3 2 2 2 6" xfId="4199" xr:uid="{00000000-0005-0000-0000-000017100000}"/>
    <cellStyle name="Normal 3 3 2 2 2 6 2" xfId="7426" xr:uid="{63F68FFF-DC09-46B4-865D-3145234FE7AA}"/>
    <cellStyle name="Normal 3 3 2 2 2 7" xfId="5013" xr:uid="{00000000-0005-0000-0000-000018100000}"/>
    <cellStyle name="Normal 3 3 2 2 2 7 2" xfId="7980" xr:uid="{FD66C0BF-7435-4FEF-8F7D-F6CF25A361BB}"/>
    <cellStyle name="Normal 3 3 2 2 2 8" xfId="5270" xr:uid="{00000000-0005-0000-0000-000019100000}"/>
    <cellStyle name="Normal 3 3 2 2 2 8 2" xfId="8192" xr:uid="{D9B45D58-F63D-4196-9237-2C0BC5946E6F}"/>
    <cellStyle name="Normal 3 3 2 2 2 9" xfId="699" xr:uid="{00000000-0005-0000-0000-00001A100000}"/>
    <cellStyle name="Normal 3 3 2 2 2 9 2" xfId="6365" xr:uid="{2C739DC8-7162-4472-9587-D918C85AFF6F}"/>
    <cellStyle name="Normal 3 3 2 2 3" xfId="421" xr:uid="{00000000-0005-0000-0000-00001B100000}"/>
    <cellStyle name="Normal 3 3 2 2 3 2" xfId="3419" xr:uid="{00000000-0005-0000-0000-00001C100000}"/>
    <cellStyle name="Normal 3 3 2 2 3 2 2" xfId="4368" xr:uid="{00000000-0005-0000-0000-00001D100000}"/>
    <cellStyle name="Normal 3 3 2 2 3 2 2 2" xfId="7595" xr:uid="{CE32F7F5-16AF-4091-A85C-DF2E6C444CDD}"/>
    <cellStyle name="Normal 3 3 2 2 3 2 3" xfId="5174" xr:uid="{00000000-0005-0000-0000-00001E100000}"/>
    <cellStyle name="Normal 3 3 2 2 3 2 3 2" xfId="8123" xr:uid="{6882E8B3-E205-4CD2-AF3D-1B1C6FF36B8E}"/>
    <cellStyle name="Normal 3 3 2 2 3 2 4" xfId="5344" xr:uid="{00000000-0005-0000-0000-00001F100000}"/>
    <cellStyle name="Normal 3 3 2 2 3 2 4 2" xfId="8266" xr:uid="{C1A8F418-7C18-4D48-A313-8CE6BD522F54}"/>
    <cellStyle name="Normal 3 3 2 2 3 2 5" xfId="7034" xr:uid="{170CA5BB-50B7-4BF6-98A0-ADBA87A48572}"/>
    <cellStyle name="Normal 3 3 2 2 3 3" xfId="4016" xr:uid="{00000000-0005-0000-0000-000020100000}"/>
    <cellStyle name="Normal 3 3 2 2 3 3 2" xfId="7320" xr:uid="{B2B4CF1E-96E6-4BD8-976D-A9334CAA91EA}"/>
    <cellStyle name="Normal 3 3 2 2 3 4" xfId="4247" xr:uid="{00000000-0005-0000-0000-000021100000}"/>
    <cellStyle name="Normal 3 3 2 2 3 4 2" xfId="7474" xr:uid="{E0E9CA1E-E992-4082-9662-1E93E401C2E6}"/>
    <cellStyle name="Normal 3 3 2 2 3 5" xfId="5073" xr:uid="{00000000-0005-0000-0000-000022100000}"/>
    <cellStyle name="Normal 3 3 2 2 3 5 2" xfId="8030" xr:uid="{23FC9BBB-45B0-435C-8E74-32B88F14E656}"/>
    <cellStyle name="Normal 3 3 2 2 3 6" xfId="5292" xr:uid="{00000000-0005-0000-0000-000023100000}"/>
    <cellStyle name="Normal 3 3 2 2 3 6 2" xfId="8214" xr:uid="{77E12708-C633-4D0B-A1BD-B0A7A727F426}"/>
    <cellStyle name="Normal 3 3 2 2 3 7" xfId="724" xr:uid="{00000000-0005-0000-0000-000024100000}"/>
    <cellStyle name="Normal 3 3 2 2 3 7 2" xfId="6387" xr:uid="{FCEADD7C-CA0F-48FF-A8A7-9CD4C19E68A3}"/>
    <cellStyle name="Normal 3 3 2 2 3 8" xfId="6222" xr:uid="{051A9D5B-6AE9-443F-A5BB-9C5A95810B9D}"/>
    <cellStyle name="Normal 3 3 2 2 4" xfId="1723" xr:uid="{00000000-0005-0000-0000-000025100000}"/>
    <cellStyle name="Normal 3 3 2 2 4 2" xfId="4013" xr:uid="{00000000-0005-0000-0000-000026100000}"/>
    <cellStyle name="Normal 3 3 2 2 4 2 2" xfId="4365" xr:uid="{00000000-0005-0000-0000-000027100000}"/>
    <cellStyle name="Normal 3 3 2 2 4 2 2 2" xfId="7592" xr:uid="{AECD6F01-7778-4256-86E5-A7F2AAFFD521}"/>
    <cellStyle name="Normal 3 3 2 2 4 2 3" xfId="7317" xr:uid="{5451268A-D0F7-4BB5-99BE-84018C047C53}"/>
    <cellStyle name="Normal 3 3 2 2 4 3" xfId="4244" xr:uid="{00000000-0005-0000-0000-000028100000}"/>
    <cellStyle name="Normal 3 3 2 2 4 3 2" xfId="7471" xr:uid="{5BD646F3-93DF-464F-AC51-61C71B1CB483}"/>
    <cellStyle name="Normal 3 3 2 2 4 4" xfId="5070" xr:uid="{00000000-0005-0000-0000-000029100000}"/>
    <cellStyle name="Normal 3 3 2 2 4 4 2" xfId="8027" xr:uid="{4D973639-E134-4A2A-88F0-4C844AC273E7}"/>
    <cellStyle name="Normal 3 3 2 2 4 5" xfId="5341" xr:uid="{00000000-0005-0000-0000-00002A100000}"/>
    <cellStyle name="Normal 3 3 2 2 4 5 2" xfId="8263" xr:uid="{F9E29898-4F20-4E4E-A201-BC7CF184BFF6}"/>
    <cellStyle name="Normal 3 3 2 2 4 6" xfId="6520" xr:uid="{7F0AC824-5345-4005-B229-B4B0E4547DC3}"/>
    <cellStyle name="Normal 3 3 2 2 5" xfId="2918" xr:uid="{00000000-0005-0000-0000-00002B100000}"/>
    <cellStyle name="Normal 3 3 2 2 5 2" xfId="4319" xr:uid="{00000000-0005-0000-0000-00002C100000}"/>
    <cellStyle name="Normal 3 3 2 2 5 2 2" xfId="7546" xr:uid="{CAA33518-EEC6-49B1-90D0-AEE070D26168}"/>
    <cellStyle name="Normal 3 3 2 2 5 3" xfId="6955" xr:uid="{C9BB5F65-ECE6-49ED-AD01-F83EAC2C6323}"/>
    <cellStyle name="Normal 3 3 2 2 6" xfId="3967" xr:uid="{00000000-0005-0000-0000-00002D100000}"/>
    <cellStyle name="Normal 3 3 2 2 6 2" xfId="7271" xr:uid="{16A45F5F-85EA-4170-AD6F-4844296D006D}"/>
    <cellStyle name="Normal 3 3 2 2 7" xfId="4198" xr:uid="{00000000-0005-0000-0000-00002E100000}"/>
    <cellStyle name="Normal 3 3 2 2 7 2" xfId="7425" xr:uid="{641E1E35-077C-4552-B23F-831B1DF0AD57}"/>
    <cellStyle name="Normal 3 3 2 2 8" xfId="5012" xr:uid="{00000000-0005-0000-0000-00002F100000}"/>
    <cellStyle name="Normal 3 3 2 2 8 2" xfId="7979" xr:uid="{D7FE30BA-6717-408C-858A-7832400BC228}"/>
    <cellStyle name="Normal 3 3 2 2 9" xfId="5262" xr:uid="{00000000-0005-0000-0000-000030100000}"/>
    <cellStyle name="Normal 3 3 2 2 9 2" xfId="8184" xr:uid="{FC36BEFD-47EC-479D-B0D6-E8722E180934}"/>
    <cellStyle name="Normal 3 3 2 3" xfId="422" xr:uid="{00000000-0005-0000-0000-000031100000}"/>
    <cellStyle name="Normal 3 3 2 3 10" xfId="5880" xr:uid="{00000000-0005-0000-0000-000032100000}"/>
    <cellStyle name="Normal 3 3 2 3 10 2" xfId="8709" xr:uid="{010EA88B-695B-4E43-A02A-4C1789BA62C3}"/>
    <cellStyle name="Normal 3 3 2 3 11" xfId="6104" xr:uid="{00000000-0005-0000-0000-000033100000}"/>
    <cellStyle name="Normal 3 3 2 3 11 2" xfId="8894" xr:uid="{7AAD6F1A-6232-481B-9E49-321F11A827F9}"/>
    <cellStyle name="Normal 3 3 2 3 12" xfId="6223" xr:uid="{C3091D3E-0DD8-4ADB-99DC-3F940855AE4E}"/>
    <cellStyle name="Normal 3 3 2 3 2" xfId="423" xr:uid="{00000000-0005-0000-0000-000034100000}"/>
    <cellStyle name="Normal 3 3 2 3 2 2" xfId="3420" xr:uid="{00000000-0005-0000-0000-000035100000}"/>
    <cellStyle name="Normal 3 3 2 3 2 2 2" xfId="4370" xr:uid="{00000000-0005-0000-0000-000036100000}"/>
    <cellStyle name="Normal 3 3 2 3 2 2 2 2" xfId="7597" xr:uid="{B7E3DFC4-B08E-46BC-8768-7B4EB93C24FB}"/>
    <cellStyle name="Normal 3 3 2 3 2 2 3" xfId="5176" xr:uid="{00000000-0005-0000-0000-000037100000}"/>
    <cellStyle name="Normal 3 3 2 3 2 2 3 2" xfId="8124" xr:uid="{C6B23D3A-B1D1-4649-A33D-0DB7A3E2BCF3}"/>
    <cellStyle name="Normal 3 3 2 3 2 2 4" xfId="5346" xr:uid="{00000000-0005-0000-0000-000038100000}"/>
    <cellStyle name="Normal 3 3 2 3 2 2 4 2" xfId="8268" xr:uid="{D8F3740F-F9EA-4937-8937-4A2379CE9056}"/>
    <cellStyle name="Normal 3 3 2 3 2 2 5" xfId="7035" xr:uid="{88078711-173F-4340-A0E5-92A0EEFF4579}"/>
    <cellStyle name="Normal 3 3 2 3 2 3" xfId="4018" xr:uid="{00000000-0005-0000-0000-000039100000}"/>
    <cellStyle name="Normal 3 3 2 3 2 3 2" xfId="7322" xr:uid="{EE2AA9F6-D906-4E8A-A51E-53D56DAD4142}"/>
    <cellStyle name="Normal 3 3 2 3 2 4" xfId="4249" xr:uid="{00000000-0005-0000-0000-00003A100000}"/>
    <cellStyle name="Normal 3 3 2 3 2 4 2" xfId="7476" xr:uid="{13C872F9-E9F3-448D-868C-FB6E8C80DFF7}"/>
    <cellStyle name="Normal 3 3 2 3 2 5" xfId="5075" xr:uid="{00000000-0005-0000-0000-00003B100000}"/>
    <cellStyle name="Normal 3 3 2 3 2 5 2" xfId="8032" xr:uid="{6BA69DAD-2683-4EC8-A703-7E2BE8D1EC04}"/>
    <cellStyle name="Normal 3 3 2 3 2 6" xfId="5294" xr:uid="{00000000-0005-0000-0000-00003C100000}"/>
    <cellStyle name="Normal 3 3 2 3 2 6 2" xfId="8216" xr:uid="{E0B6484C-2D14-42C8-A7A6-FD4F1BB8BC0A}"/>
    <cellStyle name="Normal 3 3 2 3 2 7" xfId="726" xr:uid="{00000000-0005-0000-0000-00003D100000}"/>
    <cellStyle name="Normal 3 3 2 3 2 7 2" xfId="6389" xr:uid="{37F0B1EB-2A7E-40F7-BB29-5AB8CB142E2C}"/>
    <cellStyle name="Normal 3 3 2 3 2 8" xfId="6224" xr:uid="{9F729A92-2DEF-4981-8C8F-4E29E4BFF018}"/>
    <cellStyle name="Normal 3 3 2 3 3" xfId="1725" xr:uid="{00000000-0005-0000-0000-00003E100000}"/>
    <cellStyle name="Normal 3 3 2 3 3 2" xfId="4017" xr:uid="{00000000-0005-0000-0000-00003F100000}"/>
    <cellStyle name="Normal 3 3 2 3 3 2 2" xfId="4369" xr:uid="{00000000-0005-0000-0000-000040100000}"/>
    <cellStyle name="Normal 3 3 2 3 3 2 2 2" xfId="7596" xr:uid="{CD650B7D-DE8B-47E6-B472-41FF0B76B389}"/>
    <cellStyle name="Normal 3 3 2 3 3 2 3" xfId="7321" xr:uid="{9A4C523A-98BC-41BA-9F1C-15347C2CA8C3}"/>
    <cellStyle name="Normal 3 3 2 3 3 3" xfId="4248" xr:uid="{00000000-0005-0000-0000-000041100000}"/>
    <cellStyle name="Normal 3 3 2 3 3 3 2" xfId="7475" xr:uid="{E25A5112-9FA8-450A-A9C3-069FDEB865B3}"/>
    <cellStyle name="Normal 3 3 2 3 3 4" xfId="5074" xr:uid="{00000000-0005-0000-0000-000042100000}"/>
    <cellStyle name="Normal 3 3 2 3 3 4 2" xfId="8031" xr:uid="{05CC489D-8AFE-471F-A34A-28C2829FB63E}"/>
    <cellStyle name="Normal 3 3 2 3 3 5" xfId="5345" xr:uid="{00000000-0005-0000-0000-000043100000}"/>
    <cellStyle name="Normal 3 3 2 3 3 5 2" xfId="8267" xr:uid="{EF515C38-D253-4D1B-A937-735D83282FA3}"/>
    <cellStyle name="Normal 3 3 2 3 3 6" xfId="6522" xr:uid="{67CAD43B-E2B5-4535-8852-31EA533E1743}"/>
    <cellStyle name="Normal 3 3 2 3 4" xfId="2920" xr:uid="{00000000-0005-0000-0000-000044100000}"/>
    <cellStyle name="Normal 3 3 2 3 4 2" xfId="4321" xr:uid="{00000000-0005-0000-0000-000045100000}"/>
    <cellStyle name="Normal 3 3 2 3 4 2 2" xfId="7548" xr:uid="{31D80AA7-E921-4BAC-8FF2-838B8BC0DA12}"/>
    <cellStyle name="Normal 3 3 2 3 4 3" xfId="6957" xr:uid="{8E5B2EA1-D5EE-4B93-A8C5-2C15FB9B1829}"/>
    <cellStyle name="Normal 3 3 2 3 5" xfId="3969" xr:uid="{00000000-0005-0000-0000-000046100000}"/>
    <cellStyle name="Normal 3 3 2 3 5 2" xfId="7273" xr:uid="{734FD7A7-D553-42A2-95C8-9E853417650C}"/>
    <cellStyle name="Normal 3 3 2 3 6" xfId="4200" xr:uid="{00000000-0005-0000-0000-000047100000}"/>
    <cellStyle name="Normal 3 3 2 3 6 2" xfId="7427" xr:uid="{47474238-740D-4793-A26A-2BDB8749FA60}"/>
    <cellStyle name="Normal 3 3 2 3 7" xfId="5014" xr:uid="{00000000-0005-0000-0000-000048100000}"/>
    <cellStyle name="Normal 3 3 2 3 7 2" xfId="7981" xr:uid="{4827812F-5CC3-42BA-AAE1-6616190E8710}"/>
    <cellStyle name="Normal 3 3 2 3 8" xfId="5269" xr:uid="{00000000-0005-0000-0000-000049100000}"/>
    <cellStyle name="Normal 3 3 2 3 8 2" xfId="8191" xr:uid="{2D66358E-28FA-4124-8AE8-929B3B66C9B2}"/>
    <cellStyle name="Normal 3 3 2 3 9" xfId="698" xr:uid="{00000000-0005-0000-0000-00004A100000}"/>
    <cellStyle name="Normal 3 3 2 3 9 2" xfId="6364" xr:uid="{02C269FD-6882-426E-A60B-186390A374D2}"/>
    <cellStyle name="Normal 3 3 2 4" xfId="424" xr:uid="{00000000-0005-0000-0000-00004B100000}"/>
    <cellStyle name="Normal 3 3 2 4 2" xfId="3421" xr:uid="{00000000-0005-0000-0000-00004C100000}"/>
    <cellStyle name="Normal 3 3 2 4 2 2" xfId="4371" xr:uid="{00000000-0005-0000-0000-00004D100000}"/>
    <cellStyle name="Normal 3 3 2 4 2 2 2" xfId="7598" xr:uid="{22518EB2-3A85-4FE7-8D30-15DFB4E9CD5D}"/>
    <cellStyle name="Normal 3 3 2 4 2 3" xfId="5177" xr:uid="{00000000-0005-0000-0000-00004E100000}"/>
    <cellStyle name="Normal 3 3 2 4 2 3 2" xfId="8125" xr:uid="{6DA9B4D8-FDD3-44F9-950A-6BDABEABE213}"/>
    <cellStyle name="Normal 3 3 2 4 2 4" xfId="5347" xr:uid="{00000000-0005-0000-0000-00004F100000}"/>
    <cellStyle name="Normal 3 3 2 4 2 4 2" xfId="8269" xr:uid="{ECEFC39A-80A0-4B2A-A27C-0A491810E12A}"/>
    <cellStyle name="Normal 3 3 2 4 2 5" xfId="7036" xr:uid="{DB15810B-4BCB-4D42-87BB-D57A319AC1D7}"/>
    <cellStyle name="Normal 3 3 2 4 3" xfId="4019" xr:uid="{00000000-0005-0000-0000-000050100000}"/>
    <cellStyle name="Normal 3 3 2 4 3 2" xfId="7323" xr:uid="{FC1B70DC-81A7-4F0A-AD4F-CE4C93DF5F68}"/>
    <cellStyle name="Normal 3 3 2 4 4" xfId="4250" xr:uid="{00000000-0005-0000-0000-000051100000}"/>
    <cellStyle name="Normal 3 3 2 4 4 2" xfId="7477" xr:uid="{954C660A-CA7C-4750-A055-797FD9BB223C}"/>
    <cellStyle name="Normal 3 3 2 4 5" xfId="5076" xr:uid="{00000000-0005-0000-0000-000052100000}"/>
    <cellStyle name="Normal 3 3 2 4 5 2" xfId="8033" xr:uid="{CF5DB5FD-DB85-4066-8533-AE6E03D5B38E}"/>
    <cellStyle name="Normal 3 3 2 4 6" xfId="5291" xr:uid="{00000000-0005-0000-0000-000053100000}"/>
    <cellStyle name="Normal 3 3 2 4 6 2" xfId="8213" xr:uid="{BB6C262E-8E95-41A5-9A76-A473BB438C7D}"/>
    <cellStyle name="Normal 3 3 2 4 7" xfId="723" xr:uid="{00000000-0005-0000-0000-000054100000}"/>
    <cellStyle name="Normal 3 3 2 4 7 2" xfId="6386" xr:uid="{FB972E8A-C498-4E24-9105-9E1A9A234827}"/>
    <cellStyle name="Normal 3 3 2 4 8" xfId="6225" xr:uid="{361B4642-EF4F-4C17-900E-F6E650680C94}"/>
    <cellStyle name="Normal 3 3 2 5" xfId="1722" xr:uid="{00000000-0005-0000-0000-000055100000}"/>
    <cellStyle name="Normal 3 3 2 5 2" xfId="4012" xr:uid="{00000000-0005-0000-0000-000056100000}"/>
    <cellStyle name="Normal 3 3 2 5 2 2" xfId="4364" xr:uid="{00000000-0005-0000-0000-000057100000}"/>
    <cellStyle name="Normal 3 3 2 5 2 2 2" xfId="7591" xr:uid="{E537602E-FA73-4C8E-BDD3-D908207BC58B}"/>
    <cellStyle name="Normal 3 3 2 5 2 3" xfId="7316" xr:uid="{56BA1CF8-0B7B-458A-89DE-246EE0EB32EA}"/>
    <cellStyle name="Normal 3 3 2 5 3" xfId="4243" xr:uid="{00000000-0005-0000-0000-000058100000}"/>
    <cellStyle name="Normal 3 3 2 5 3 2" xfId="7470" xr:uid="{84FA36C1-4BAE-4EBC-8CD6-729284666FE7}"/>
    <cellStyle name="Normal 3 3 2 5 4" xfId="5069" xr:uid="{00000000-0005-0000-0000-000059100000}"/>
    <cellStyle name="Normal 3 3 2 5 4 2" xfId="8026" xr:uid="{F614666E-4314-4599-B477-549634A88E05}"/>
    <cellStyle name="Normal 3 3 2 5 5" xfId="5340" xr:uid="{00000000-0005-0000-0000-00005A100000}"/>
    <cellStyle name="Normal 3 3 2 5 5 2" xfId="8262" xr:uid="{003CAE43-BD2C-4EB4-993C-E04438C39DDC}"/>
    <cellStyle name="Normal 3 3 2 5 6" xfId="6519" xr:uid="{D25524D9-71C8-47F9-B9E3-A44D4292A6F3}"/>
    <cellStyle name="Normal 3 3 2 6" xfId="2917" xr:uid="{00000000-0005-0000-0000-00005B100000}"/>
    <cellStyle name="Normal 3 3 2 6 2" xfId="4318" xr:uid="{00000000-0005-0000-0000-00005C100000}"/>
    <cellStyle name="Normal 3 3 2 6 2 2" xfId="7545" xr:uid="{75CFB1F9-8763-4EE7-87EC-793496FE8924}"/>
    <cellStyle name="Normal 3 3 2 6 3" xfId="6954" xr:uid="{B08E463E-D475-4119-94B1-01341524DBB2}"/>
    <cellStyle name="Normal 3 3 2 7" xfId="3966" xr:uid="{00000000-0005-0000-0000-00005D100000}"/>
    <cellStyle name="Normal 3 3 2 7 2" xfId="7270" xr:uid="{B10A619C-5E62-4283-8F06-BD918EC86485}"/>
    <cellStyle name="Normal 3 3 2 8" xfId="4197" xr:uid="{00000000-0005-0000-0000-00005E100000}"/>
    <cellStyle name="Normal 3 3 2 8 2" xfId="7424" xr:uid="{52454007-AC91-4F01-B0BB-CF18E6306054}"/>
    <cellStyle name="Normal 3 3 2 9" xfId="5011" xr:uid="{00000000-0005-0000-0000-00005F100000}"/>
    <cellStyle name="Normal 3 3 2 9 2" xfId="7978" xr:uid="{8BA82CB9-C228-4308-A73E-A730C2B2B4CE}"/>
    <cellStyle name="Normal 3 3 3" xfId="425" xr:uid="{00000000-0005-0000-0000-000060100000}"/>
    <cellStyle name="Normal 3 3 3 10" xfId="681" xr:uid="{00000000-0005-0000-0000-000061100000}"/>
    <cellStyle name="Normal 3 3 3 10 2" xfId="6350" xr:uid="{71CCBEDB-7A15-4124-803D-65644A9E5E16}"/>
    <cellStyle name="Normal 3 3 3 11" xfId="5881" xr:uid="{00000000-0005-0000-0000-000062100000}"/>
    <cellStyle name="Normal 3 3 3 11 2" xfId="8710" xr:uid="{E4CDD938-C1EC-407E-8FA8-555F3036383B}"/>
    <cellStyle name="Normal 3 3 3 12" xfId="6105" xr:uid="{00000000-0005-0000-0000-000063100000}"/>
    <cellStyle name="Normal 3 3 3 12 2" xfId="8895" xr:uid="{A4D42A53-EDB5-4E72-A998-0E083094C533}"/>
    <cellStyle name="Normal 3 3 3 13" xfId="6226" xr:uid="{74646A7A-1FB5-418F-866C-14FBB058B5DD}"/>
    <cellStyle name="Normal 3 3 3 2" xfId="426" xr:uid="{00000000-0005-0000-0000-000064100000}"/>
    <cellStyle name="Normal 3 3 3 2 10" xfId="5882" xr:uid="{00000000-0005-0000-0000-000065100000}"/>
    <cellStyle name="Normal 3 3 3 2 10 2" xfId="8711" xr:uid="{118CF0A7-B9C6-4560-9101-FA3659266670}"/>
    <cellStyle name="Normal 3 3 3 2 11" xfId="6106" xr:uid="{00000000-0005-0000-0000-000066100000}"/>
    <cellStyle name="Normal 3 3 3 2 11 2" xfId="8896" xr:uid="{0FD37CBB-6E6A-445E-9811-B99301005605}"/>
    <cellStyle name="Normal 3 3 3 2 12" xfId="6227" xr:uid="{B541611A-8122-45A3-9576-4F9970BFB6CE}"/>
    <cellStyle name="Normal 3 3 3 2 2" xfId="427" xr:uid="{00000000-0005-0000-0000-000067100000}"/>
    <cellStyle name="Normal 3 3 3 2 2 2" xfId="3424" xr:uid="{00000000-0005-0000-0000-000068100000}"/>
    <cellStyle name="Normal 3 3 3 2 2 2 2" xfId="4374" xr:uid="{00000000-0005-0000-0000-000069100000}"/>
    <cellStyle name="Normal 3 3 3 2 2 2 2 2" xfId="7601" xr:uid="{48B089CF-0A3B-44C1-A5DD-A0CCD73EE5B3}"/>
    <cellStyle name="Normal 3 3 3 2 2 2 3" xfId="5179" xr:uid="{00000000-0005-0000-0000-00006A100000}"/>
    <cellStyle name="Normal 3 3 3 2 2 2 3 2" xfId="8126" xr:uid="{7BC21C5C-A8A5-4221-96EA-588BB364E577}"/>
    <cellStyle name="Normal 3 3 3 2 2 2 4" xfId="5350" xr:uid="{00000000-0005-0000-0000-00006B100000}"/>
    <cellStyle name="Normal 3 3 3 2 2 2 4 2" xfId="8272" xr:uid="{C00780B5-7B08-4C36-A702-C8D3A0D3262B}"/>
    <cellStyle name="Normal 3 3 3 2 2 2 5" xfId="7039" xr:uid="{B6BC76B9-1E93-4336-8237-00DE8BBEB84D}"/>
    <cellStyle name="Normal 3 3 3 2 2 3" xfId="4022" xr:uid="{00000000-0005-0000-0000-00006C100000}"/>
    <cellStyle name="Normal 3 3 3 2 2 3 2" xfId="7326" xr:uid="{0CEF24A0-3A07-4D0C-A276-4E9E97F4E9B4}"/>
    <cellStyle name="Normal 3 3 3 2 2 4" xfId="4253" xr:uid="{00000000-0005-0000-0000-00006D100000}"/>
    <cellStyle name="Normal 3 3 3 2 2 4 2" xfId="7480" xr:uid="{678FFBEB-3F93-4DA3-B360-264A1981754A}"/>
    <cellStyle name="Normal 3 3 3 2 2 5" xfId="5079" xr:uid="{00000000-0005-0000-0000-00006E100000}"/>
    <cellStyle name="Normal 3 3 3 2 2 5 2" xfId="8036" xr:uid="{9AD21917-F9F0-42A6-9F36-65830C25C8CB}"/>
    <cellStyle name="Normal 3 3 3 2 2 6" xfId="5296" xr:uid="{00000000-0005-0000-0000-00006F100000}"/>
    <cellStyle name="Normal 3 3 3 2 2 6 2" xfId="8218" xr:uid="{0547D84F-0BD8-4BFC-B530-CF7972031E19}"/>
    <cellStyle name="Normal 3 3 3 2 2 7" xfId="728" xr:uid="{00000000-0005-0000-0000-000070100000}"/>
    <cellStyle name="Normal 3 3 3 2 2 7 2" xfId="6391" xr:uid="{196E9F00-EDBF-4342-8580-2DC6AAFBCE3D}"/>
    <cellStyle name="Normal 3 3 3 2 2 8" xfId="6228" xr:uid="{B214097C-BD3E-4F07-94D7-8BBD24C9D70F}"/>
    <cellStyle name="Normal 3 3 3 2 3" xfId="1727" xr:uid="{00000000-0005-0000-0000-000071100000}"/>
    <cellStyle name="Normal 3 3 3 2 3 2" xfId="4021" xr:uid="{00000000-0005-0000-0000-000072100000}"/>
    <cellStyle name="Normal 3 3 3 2 3 2 2" xfId="4373" xr:uid="{00000000-0005-0000-0000-000073100000}"/>
    <cellStyle name="Normal 3 3 3 2 3 2 2 2" xfId="7600" xr:uid="{97D0A167-F991-4960-AD41-8D96685863AC}"/>
    <cellStyle name="Normal 3 3 3 2 3 2 3" xfId="7325" xr:uid="{2D48928F-FC39-4A3A-A7BE-5F18CFC279E1}"/>
    <cellStyle name="Normal 3 3 3 2 3 3" xfId="4252" xr:uid="{00000000-0005-0000-0000-000074100000}"/>
    <cellStyle name="Normal 3 3 3 2 3 3 2" xfId="7479" xr:uid="{8E25882B-6F43-46F0-B803-69D60537E134}"/>
    <cellStyle name="Normal 3 3 3 2 3 4" xfId="5078" xr:uid="{00000000-0005-0000-0000-000075100000}"/>
    <cellStyle name="Normal 3 3 3 2 3 4 2" xfId="8035" xr:uid="{64799F9B-36DB-40EA-ABC9-108B7A49DA2E}"/>
    <cellStyle name="Normal 3 3 3 2 3 5" xfId="5349" xr:uid="{00000000-0005-0000-0000-000076100000}"/>
    <cellStyle name="Normal 3 3 3 2 3 5 2" xfId="8271" xr:uid="{86FE4AFE-CD55-48AA-8C22-4D52EB1FB1E1}"/>
    <cellStyle name="Normal 3 3 3 2 3 6" xfId="6524" xr:uid="{93A7DFB4-1901-441B-B346-F3921BC26888}"/>
    <cellStyle name="Normal 3 3 3 2 4" xfId="2922" xr:uid="{00000000-0005-0000-0000-000077100000}"/>
    <cellStyle name="Normal 3 3 3 2 4 2" xfId="4323" xr:uid="{00000000-0005-0000-0000-000078100000}"/>
    <cellStyle name="Normal 3 3 3 2 4 2 2" xfId="7550" xr:uid="{64EE7467-2CFF-4F59-812B-C9812C7C12EB}"/>
    <cellStyle name="Normal 3 3 3 2 4 3" xfId="6959" xr:uid="{9B3DAD2B-11F7-4F59-9403-7E4B9EDEB486}"/>
    <cellStyle name="Normal 3 3 3 2 5" xfId="3971" xr:uid="{00000000-0005-0000-0000-000079100000}"/>
    <cellStyle name="Normal 3 3 3 2 5 2" xfId="7275" xr:uid="{5F1C4C2E-6F13-4A65-9BF3-E30E69E9ABAB}"/>
    <cellStyle name="Normal 3 3 3 2 6" xfId="4202" xr:uid="{00000000-0005-0000-0000-00007A100000}"/>
    <cellStyle name="Normal 3 3 3 2 6 2" xfId="7429" xr:uid="{A9999A46-93E9-4B73-891B-E154F9ED0D69}"/>
    <cellStyle name="Normal 3 3 3 2 7" xfId="5016" xr:uid="{00000000-0005-0000-0000-00007B100000}"/>
    <cellStyle name="Normal 3 3 3 2 7 2" xfId="7983" xr:uid="{7F28340D-FE00-4FF6-9231-9AEBE4A96037}"/>
    <cellStyle name="Normal 3 3 3 2 8" xfId="5271" xr:uid="{00000000-0005-0000-0000-00007C100000}"/>
    <cellStyle name="Normal 3 3 3 2 8 2" xfId="8193" xr:uid="{29D8C56B-7762-43CC-984F-C01FB89AA488}"/>
    <cellStyle name="Normal 3 3 3 2 9" xfId="700" xr:uid="{00000000-0005-0000-0000-00007D100000}"/>
    <cellStyle name="Normal 3 3 3 2 9 2" xfId="6366" xr:uid="{8E3DF1DB-CA60-4301-9E6E-34B700D69110}"/>
    <cellStyle name="Normal 3 3 3 3" xfId="428" xr:uid="{00000000-0005-0000-0000-00007E100000}"/>
    <cellStyle name="Normal 3 3 3 3 2" xfId="3425" xr:uid="{00000000-0005-0000-0000-00007F100000}"/>
    <cellStyle name="Normal 3 3 3 3 2 2" xfId="4375" xr:uid="{00000000-0005-0000-0000-000080100000}"/>
    <cellStyle name="Normal 3 3 3 3 2 2 2" xfId="7602" xr:uid="{8E12E5BC-7D75-441C-BDCF-C7E8E04DBB31}"/>
    <cellStyle name="Normal 3 3 3 3 2 3" xfId="5180" xr:uid="{00000000-0005-0000-0000-000081100000}"/>
    <cellStyle name="Normal 3 3 3 3 2 3 2" xfId="8127" xr:uid="{CC545619-2A87-43DF-926A-72771E08EF7D}"/>
    <cellStyle name="Normal 3 3 3 3 2 4" xfId="5351" xr:uid="{00000000-0005-0000-0000-000082100000}"/>
    <cellStyle name="Normal 3 3 3 3 2 4 2" xfId="8273" xr:uid="{D74DC117-C28C-4F5B-93B2-8E0EFB4D38EA}"/>
    <cellStyle name="Normal 3 3 3 3 2 5" xfId="7040" xr:uid="{5430F8C5-4766-4301-9A73-CE363885E43F}"/>
    <cellStyle name="Normal 3 3 3 3 3" xfId="4023" xr:uid="{00000000-0005-0000-0000-000083100000}"/>
    <cellStyle name="Normal 3 3 3 3 3 2" xfId="7327" xr:uid="{B519E572-11C2-43CF-8530-CF15B3D107BA}"/>
    <cellStyle name="Normal 3 3 3 3 4" xfId="4254" xr:uid="{00000000-0005-0000-0000-000084100000}"/>
    <cellStyle name="Normal 3 3 3 3 4 2" xfId="7481" xr:uid="{AAC8A1BC-FF66-41F0-A68B-6C3D1A66BD06}"/>
    <cellStyle name="Normal 3 3 3 3 5" xfId="5080" xr:uid="{00000000-0005-0000-0000-000085100000}"/>
    <cellStyle name="Normal 3 3 3 3 5 2" xfId="8037" xr:uid="{CCB349DB-5A6A-4527-9453-213CEBDBB636}"/>
    <cellStyle name="Normal 3 3 3 3 6" xfId="5295" xr:uid="{00000000-0005-0000-0000-000086100000}"/>
    <cellStyle name="Normal 3 3 3 3 6 2" xfId="8217" xr:uid="{2A432427-8DD9-47B2-8047-D95F97E0E87C}"/>
    <cellStyle name="Normal 3 3 3 3 7" xfId="727" xr:uid="{00000000-0005-0000-0000-000087100000}"/>
    <cellStyle name="Normal 3 3 3 3 7 2" xfId="6390" xr:uid="{3D78078B-0CD0-42F3-967A-D7BF9A2DE272}"/>
    <cellStyle name="Normal 3 3 3 3 8" xfId="6229" xr:uid="{EA9DC49F-E0B9-44AA-8D0C-60C344009679}"/>
    <cellStyle name="Normal 3 3 3 4" xfId="1726" xr:uid="{00000000-0005-0000-0000-000088100000}"/>
    <cellStyle name="Normal 3 3 3 4 2" xfId="4020" xr:uid="{00000000-0005-0000-0000-000089100000}"/>
    <cellStyle name="Normal 3 3 3 4 2 2" xfId="4372" xr:uid="{00000000-0005-0000-0000-00008A100000}"/>
    <cellStyle name="Normal 3 3 3 4 2 2 2" xfId="7599" xr:uid="{E8FFCA51-8C78-4BEE-8BD3-2FF0252BB01D}"/>
    <cellStyle name="Normal 3 3 3 4 2 3" xfId="7324" xr:uid="{78F26CB0-D020-4326-B790-915B94C6F3D0}"/>
    <cellStyle name="Normal 3 3 3 4 3" xfId="4251" xr:uid="{00000000-0005-0000-0000-00008B100000}"/>
    <cellStyle name="Normal 3 3 3 4 3 2" xfId="7478" xr:uid="{3EC56DCD-434E-4587-AE14-6BE3BB7DA954}"/>
    <cellStyle name="Normal 3 3 3 4 4" xfId="5077" xr:uid="{00000000-0005-0000-0000-00008C100000}"/>
    <cellStyle name="Normal 3 3 3 4 4 2" xfId="8034" xr:uid="{D2D9C221-31DC-48C1-9694-06B519B50584}"/>
    <cellStyle name="Normal 3 3 3 4 5" xfId="5348" xr:uid="{00000000-0005-0000-0000-00008D100000}"/>
    <cellStyle name="Normal 3 3 3 4 5 2" xfId="8270" xr:uid="{F859E909-1904-4EE5-B1CB-6014E48FD9BD}"/>
    <cellStyle name="Normal 3 3 3 4 6" xfId="6523" xr:uid="{17703AD3-B7ED-44A5-BDA9-0279BBC8514A}"/>
    <cellStyle name="Normal 3 3 3 5" xfId="2921" xr:uid="{00000000-0005-0000-0000-00008E100000}"/>
    <cellStyle name="Normal 3 3 3 5 2" xfId="4322" xr:uid="{00000000-0005-0000-0000-00008F100000}"/>
    <cellStyle name="Normal 3 3 3 5 2 2" xfId="7549" xr:uid="{D59B2AD5-305E-4F2D-A85D-507C64AD6960}"/>
    <cellStyle name="Normal 3 3 3 5 3" xfId="6958" xr:uid="{40966575-C720-42CA-A356-490C3225FCAC}"/>
    <cellStyle name="Normal 3 3 3 6" xfId="3970" xr:uid="{00000000-0005-0000-0000-000090100000}"/>
    <cellStyle name="Normal 3 3 3 6 2" xfId="7274" xr:uid="{D3E51BD5-DB03-483E-B25B-EBD844033B77}"/>
    <cellStyle name="Normal 3 3 3 7" xfId="4201" xr:uid="{00000000-0005-0000-0000-000091100000}"/>
    <cellStyle name="Normal 3 3 3 7 2" xfId="7428" xr:uid="{2984606A-E63F-4D31-AAD8-5D0874F8336B}"/>
    <cellStyle name="Normal 3 3 3 8" xfId="5015" xr:uid="{00000000-0005-0000-0000-000092100000}"/>
    <cellStyle name="Normal 3 3 3 8 2" xfId="7982" xr:uid="{D08FBC5C-FCE2-4859-BD90-3010FB2D6E62}"/>
    <cellStyle name="Normal 3 3 3 9" xfId="5255" xr:uid="{00000000-0005-0000-0000-000093100000}"/>
    <cellStyle name="Normal 3 3 3 9 2" xfId="8177" xr:uid="{DA820228-2510-407F-92AD-CC2A8ECCA91C}"/>
    <cellStyle name="Normal 3 3 4" xfId="429" xr:uid="{00000000-0005-0000-0000-000094100000}"/>
    <cellStyle name="Normal 3 3 4 10" xfId="5883" xr:uid="{00000000-0005-0000-0000-000095100000}"/>
    <cellStyle name="Normal 3 3 4 10 2" xfId="8712" xr:uid="{79E48AD8-0C7C-49D2-B15E-49158104F559}"/>
    <cellStyle name="Normal 3 3 4 11" xfId="6107" xr:uid="{00000000-0005-0000-0000-000096100000}"/>
    <cellStyle name="Normal 3 3 4 11 2" xfId="8897" xr:uid="{328F52E1-8BFD-4D93-9566-F943C6355A90}"/>
    <cellStyle name="Normal 3 3 4 12" xfId="6230" xr:uid="{5FB0CD4D-3282-498F-B0A2-5025B0ED5E53}"/>
    <cellStyle name="Normal 3 3 4 2" xfId="430" xr:uid="{00000000-0005-0000-0000-000097100000}"/>
    <cellStyle name="Normal 3 3 4 2 2" xfId="3426" xr:uid="{00000000-0005-0000-0000-000098100000}"/>
    <cellStyle name="Normal 3 3 4 2 2 2" xfId="4377" xr:uid="{00000000-0005-0000-0000-000099100000}"/>
    <cellStyle name="Normal 3 3 4 2 2 2 2" xfId="7604" xr:uid="{CD9E1124-8FC1-4191-B305-BCA418599E7E}"/>
    <cellStyle name="Normal 3 3 4 2 2 3" xfId="5181" xr:uid="{00000000-0005-0000-0000-00009A100000}"/>
    <cellStyle name="Normal 3 3 4 2 2 3 2" xfId="8128" xr:uid="{84CCAA42-FB90-4682-9ED0-D4E58B9679AA}"/>
    <cellStyle name="Normal 3 3 4 2 2 4" xfId="5353" xr:uid="{00000000-0005-0000-0000-00009B100000}"/>
    <cellStyle name="Normal 3 3 4 2 2 4 2" xfId="8275" xr:uid="{A8EA3BC0-BE61-4233-9461-1043862C681F}"/>
    <cellStyle name="Normal 3 3 4 2 2 5" xfId="7041" xr:uid="{9B6D7501-00B7-4C02-934E-CD35AF3E09D8}"/>
    <cellStyle name="Normal 3 3 4 2 3" xfId="4025" xr:uid="{00000000-0005-0000-0000-00009C100000}"/>
    <cellStyle name="Normal 3 3 4 2 3 2" xfId="7329" xr:uid="{88798233-EAAB-4F18-9250-45E58DBEAAAE}"/>
    <cellStyle name="Normal 3 3 4 2 4" xfId="4256" xr:uid="{00000000-0005-0000-0000-00009D100000}"/>
    <cellStyle name="Normal 3 3 4 2 4 2" xfId="7483" xr:uid="{DBBEE812-EE8A-4194-96E7-266BFAF1DF27}"/>
    <cellStyle name="Normal 3 3 4 2 5" xfId="5082" xr:uid="{00000000-0005-0000-0000-00009E100000}"/>
    <cellStyle name="Normal 3 3 4 2 5 2" xfId="8039" xr:uid="{6EFFCC0E-BF67-4B34-9567-229FCE06CF82}"/>
    <cellStyle name="Normal 3 3 4 2 6" xfId="5297" xr:uid="{00000000-0005-0000-0000-00009F100000}"/>
    <cellStyle name="Normal 3 3 4 2 6 2" xfId="8219" xr:uid="{F39F8022-E2CB-48F0-A137-6C7213447764}"/>
    <cellStyle name="Normal 3 3 4 2 7" xfId="729" xr:uid="{00000000-0005-0000-0000-0000A0100000}"/>
    <cellStyle name="Normal 3 3 4 2 7 2" xfId="6392" xr:uid="{C28E9AD6-D4B6-4858-B46B-29996282D6B0}"/>
    <cellStyle name="Normal 3 3 4 2 8" xfId="6231" xr:uid="{7902C4E7-ED1A-486D-8174-7075DEB6E16B}"/>
    <cellStyle name="Normal 3 3 4 3" xfId="1728" xr:uid="{00000000-0005-0000-0000-0000A1100000}"/>
    <cellStyle name="Normal 3 3 4 3 2" xfId="4024" xr:uid="{00000000-0005-0000-0000-0000A2100000}"/>
    <cellStyle name="Normal 3 3 4 3 2 2" xfId="4376" xr:uid="{00000000-0005-0000-0000-0000A3100000}"/>
    <cellStyle name="Normal 3 3 4 3 2 2 2" xfId="7603" xr:uid="{77C68555-736F-48C9-A070-572A5EE68595}"/>
    <cellStyle name="Normal 3 3 4 3 2 3" xfId="7328" xr:uid="{F2D5F9D3-0AB5-4836-9471-9291365E76CF}"/>
    <cellStyle name="Normal 3 3 4 3 3" xfId="4255" xr:uid="{00000000-0005-0000-0000-0000A4100000}"/>
    <cellStyle name="Normal 3 3 4 3 3 2" xfId="7482" xr:uid="{87F48220-EC72-4538-B039-5C4DD827A6A2}"/>
    <cellStyle name="Normal 3 3 4 3 4" xfId="5081" xr:uid="{00000000-0005-0000-0000-0000A5100000}"/>
    <cellStyle name="Normal 3 3 4 3 4 2" xfId="8038" xr:uid="{4DED3E56-5419-4D54-8889-B83A9EDEFB5A}"/>
    <cellStyle name="Normal 3 3 4 3 5" xfId="5352" xr:uid="{00000000-0005-0000-0000-0000A6100000}"/>
    <cellStyle name="Normal 3 3 4 3 5 2" xfId="8274" xr:uid="{7A94CA90-BE46-4D8A-8E55-05958837FD58}"/>
    <cellStyle name="Normal 3 3 4 3 6" xfId="6525" xr:uid="{C6B1F494-4025-49DC-8771-895F45900DE4}"/>
    <cellStyle name="Normal 3 3 4 4" xfId="2923" xr:uid="{00000000-0005-0000-0000-0000A7100000}"/>
    <cellStyle name="Normal 3 3 4 4 2" xfId="4324" xr:uid="{00000000-0005-0000-0000-0000A8100000}"/>
    <cellStyle name="Normal 3 3 4 4 2 2" xfId="7551" xr:uid="{A8A693D2-B86F-48EF-91BF-6475273DFF3C}"/>
    <cellStyle name="Normal 3 3 4 4 3" xfId="6960" xr:uid="{269E905B-D3B2-4182-AF82-581A5169083A}"/>
    <cellStyle name="Normal 3 3 4 5" xfId="3972" xr:uid="{00000000-0005-0000-0000-0000A9100000}"/>
    <cellStyle name="Normal 3 3 4 5 2" xfId="7276" xr:uid="{AD08D94B-22E4-4EF5-BF1B-941320E98175}"/>
    <cellStyle name="Normal 3 3 4 6" xfId="4203" xr:uid="{00000000-0005-0000-0000-0000AA100000}"/>
    <cellStyle name="Normal 3 3 4 6 2" xfId="7430" xr:uid="{F1528AC8-7C0E-4E3A-8571-9237B9A1306E}"/>
    <cellStyle name="Normal 3 3 4 7" xfId="5017" xr:uid="{00000000-0005-0000-0000-0000AB100000}"/>
    <cellStyle name="Normal 3 3 4 7 2" xfId="7984" xr:uid="{E684D909-56A4-4F80-9B7A-2021D77E53A8}"/>
    <cellStyle name="Normal 3 3 4 8" xfId="5268" xr:uid="{00000000-0005-0000-0000-0000AC100000}"/>
    <cellStyle name="Normal 3 3 4 8 2" xfId="8190" xr:uid="{973B3841-FC32-41A4-B575-A73EAB8F9D95}"/>
    <cellStyle name="Normal 3 3 4 9" xfId="697" xr:uid="{00000000-0005-0000-0000-0000AD100000}"/>
    <cellStyle name="Normal 3 3 4 9 2" xfId="6363" xr:uid="{2D58E118-E021-43AC-B0DB-33C36837A6D6}"/>
    <cellStyle name="Normal 3 3 5" xfId="431" xr:uid="{00000000-0005-0000-0000-0000AE100000}"/>
    <cellStyle name="Normal 3 3 5 2" xfId="3428" xr:uid="{00000000-0005-0000-0000-0000AF100000}"/>
    <cellStyle name="Normal 3 3 5 2 2" xfId="3824" xr:uid="{00000000-0005-0000-0000-0000B0100000}"/>
    <cellStyle name="Normal 3 3 5 2 2 2" xfId="4378" xr:uid="{00000000-0005-0000-0000-0000B1100000}"/>
    <cellStyle name="Normal 3 3 5 2 2 2 2" xfId="7605" xr:uid="{27E26812-866D-45D0-8E98-91E00D7A14AA}"/>
    <cellStyle name="Normal 3 3 5 2 2 3" xfId="7244" xr:uid="{0E536120-C331-445F-ADF2-1751C2F9217E}"/>
    <cellStyle name="Normal 3 3 5 2 3" xfId="4026" xr:uid="{00000000-0005-0000-0000-0000B2100000}"/>
    <cellStyle name="Normal 3 3 5 2 3 2" xfId="7330" xr:uid="{9DB9E171-7272-4CD4-A85B-7003E35F709D}"/>
    <cellStyle name="Normal 3 3 5 2 4" xfId="4257" xr:uid="{00000000-0005-0000-0000-0000B3100000}"/>
    <cellStyle name="Normal 3 3 5 2 4 2" xfId="7484" xr:uid="{B1A4D4C9-45C4-40A3-ABA6-BB49ADACC591}"/>
    <cellStyle name="Normal 3 3 5 2 5" xfId="4184" xr:uid="{00000000-0005-0000-0000-0000B4100000}"/>
    <cellStyle name="Normal 3 3 5 2 5 2" xfId="7412" xr:uid="{50F85DDB-1F35-4B4E-AC1C-2508D98AC0F3}"/>
    <cellStyle name="Normal 3 3 5 2 6" xfId="5354" xr:uid="{00000000-0005-0000-0000-0000B5100000}"/>
    <cellStyle name="Normal 3 3 5 2 6 2" xfId="8276" xr:uid="{D70B5AB3-7269-4DBA-8B5D-9927FF6DA70B}"/>
    <cellStyle name="Normal 3 3 5 2 7" xfId="7042" xr:uid="{751F6D52-B0E1-416D-BD67-BBDAFD94A746}"/>
    <cellStyle name="Normal 3 3 5 3" xfId="3427" xr:uid="{00000000-0005-0000-0000-0000B6100000}"/>
    <cellStyle name="Normal 3 3 5 4" xfId="4780" xr:uid="{00000000-0005-0000-0000-0000B7100000}"/>
    <cellStyle name="Normal 3 3 5 4 2" xfId="5290" xr:uid="{00000000-0005-0000-0000-0000B8100000}"/>
    <cellStyle name="Normal 3 3 5 4 2 2" xfId="8212" xr:uid="{79B277C1-4F14-4D1D-B3A2-64607E8F10F2}"/>
    <cellStyle name="Normal 3 3 5 5" xfId="4779" xr:uid="{00000000-0005-0000-0000-0000B9100000}"/>
    <cellStyle name="Normal 3 3 5 5 2" xfId="7849" xr:uid="{970A9F29-4A1A-4EF6-A16E-E2381757D006}"/>
    <cellStyle name="Normal 3 3 5 6" xfId="722" xr:uid="{00000000-0005-0000-0000-0000BA100000}"/>
    <cellStyle name="Normal 3 3 5 6 2" xfId="6385" xr:uid="{8E511F86-6BEC-4950-BF65-8ABD01913813}"/>
    <cellStyle name="Normal 3 3 5 7" xfId="6232" xr:uid="{E038736C-AB5E-4CB9-8579-D3996EB3D912}"/>
    <cellStyle name="Normal 3 3 6" xfId="1721" xr:uid="{00000000-0005-0000-0000-0000BB100000}"/>
    <cellStyle name="Normal 3 3 6 2" xfId="4011" xr:uid="{00000000-0005-0000-0000-0000BC100000}"/>
    <cellStyle name="Normal 3 3 6 2 2" xfId="4363" xr:uid="{00000000-0005-0000-0000-0000BD100000}"/>
    <cellStyle name="Normal 3 3 6 2 2 2" xfId="7590" xr:uid="{99999C95-246E-4F6F-B28D-FB29E985A7C5}"/>
    <cellStyle name="Normal 3 3 6 2 3" xfId="7315" xr:uid="{7B55B4F0-5024-4EB3-91C2-7888C564EA99}"/>
    <cellStyle name="Normal 3 3 6 3" xfId="4242" xr:uid="{00000000-0005-0000-0000-0000BE100000}"/>
    <cellStyle name="Normal 3 3 6 3 2" xfId="7469" xr:uid="{9A18A08B-AEAB-4340-BC59-013824067BE2}"/>
    <cellStyle name="Normal 3 3 6 4" xfId="5068" xr:uid="{00000000-0005-0000-0000-0000BF100000}"/>
    <cellStyle name="Normal 3 3 6 4 2" xfId="8025" xr:uid="{C74D3C73-1A2E-48E6-B07A-617E68BEEB65}"/>
    <cellStyle name="Normal 3 3 6 5" xfId="5339" xr:uid="{00000000-0005-0000-0000-0000C0100000}"/>
    <cellStyle name="Normal 3 3 6 5 2" xfId="8261" xr:uid="{75A0710E-E36B-48C6-8388-3321E3BCECA1}"/>
    <cellStyle name="Normal 3 3 6 6" xfId="6518" xr:uid="{A331050B-CEA9-4CFC-A69E-1EBEBFF48441}"/>
    <cellStyle name="Normal 3 3 7" xfId="2916" xr:uid="{00000000-0005-0000-0000-0000C1100000}"/>
    <cellStyle name="Normal 3 3 7 2" xfId="4317" xr:uid="{00000000-0005-0000-0000-0000C2100000}"/>
    <cellStyle name="Normal 3 3 7 2 2" xfId="7544" xr:uid="{48F9D476-EA2D-4944-AE55-C69752AAAD01}"/>
    <cellStyle name="Normal 3 3 7 3" xfId="6953" xr:uid="{9383E7CA-C65A-49E2-9273-A9A358CAB36C}"/>
    <cellStyle name="Normal 3 3 8" xfId="3965" xr:uid="{00000000-0005-0000-0000-0000C3100000}"/>
    <cellStyle name="Normal 3 3 8 2" xfId="7269" xr:uid="{3B9363EA-8130-43D9-A50B-49F21B92EA8E}"/>
    <cellStyle name="Normal 3 3 9" xfId="4196" xr:uid="{00000000-0005-0000-0000-0000C4100000}"/>
    <cellStyle name="Normal 3 3 9 2" xfId="7423" xr:uid="{8C56FFCF-6B64-4341-A07F-3C451A01D133}"/>
    <cellStyle name="Normal 3 4" xfId="1729" xr:uid="{00000000-0005-0000-0000-0000C5100000}"/>
    <cellStyle name="Normal 3 4 2" xfId="3429" xr:uid="{00000000-0005-0000-0000-0000C6100000}"/>
    <cellStyle name="Normal 3 4 2 2" xfId="3825" xr:uid="{00000000-0005-0000-0000-0000C7100000}"/>
    <cellStyle name="Normal 3 4 2 2 2" xfId="4379" xr:uid="{00000000-0005-0000-0000-0000C8100000}"/>
    <cellStyle name="Normal 3 4 2 2 2 2" xfId="7606" xr:uid="{B19C0A1D-2D63-4220-A5E8-D6E06211C5D7}"/>
    <cellStyle name="Normal 3 4 2 2 3" xfId="7245" xr:uid="{143124C8-FAD8-491C-B860-6C65B95F26DC}"/>
    <cellStyle name="Normal 3 4 2 3" xfId="4027" xr:uid="{00000000-0005-0000-0000-0000C9100000}"/>
    <cellStyle name="Normal 3 4 2 3 2" xfId="7331" xr:uid="{EB5C2278-F062-4A56-8110-A53D9175F08F}"/>
    <cellStyle name="Normal 3 4 2 4" xfId="4258" xr:uid="{00000000-0005-0000-0000-0000CA100000}"/>
    <cellStyle name="Normal 3 4 2 4 2" xfId="7485" xr:uid="{CD9147A5-01CB-476C-B870-C921320ED331}"/>
    <cellStyle name="Normal 3 4 2 5" xfId="4987" xr:uid="{00000000-0005-0000-0000-0000CB100000}"/>
    <cellStyle name="Normal 3 4 2 5 2" xfId="7964" xr:uid="{0A66F790-6143-4CD4-840C-1821A3C26040}"/>
    <cellStyle name="Normal 3 4 2 6" xfId="5355" xr:uid="{00000000-0005-0000-0000-0000CC100000}"/>
    <cellStyle name="Normal 3 4 2 6 2" xfId="8277" xr:uid="{F8E1C71A-63D8-40D3-AB8C-9F137685D4EC}"/>
    <cellStyle name="Normal 3 4 2 7" xfId="5231" xr:uid="{00000000-0005-0000-0000-0000CD100000}"/>
    <cellStyle name="Normal 3 4 2 8" xfId="7043" xr:uid="{57A15AB3-1448-4EEF-9F33-17AED17C00AA}"/>
    <cellStyle name="Normal 3 4 3" xfId="3756" xr:uid="{00000000-0005-0000-0000-0000CE100000}"/>
    <cellStyle name="Normal 3 5" xfId="1730" xr:uid="{00000000-0005-0000-0000-0000CF100000}"/>
    <cellStyle name="Normal 3 5 2" xfId="2915" xr:uid="{00000000-0005-0000-0000-0000D0100000}"/>
    <cellStyle name="Normal 3 5 2 2" xfId="6952" xr:uid="{548888F3-BB5D-4162-9588-0EEFEA664602}"/>
    <cellStyle name="Normal 3 5 3" xfId="2785" xr:uid="{00000000-0005-0000-0000-0000D1100000}"/>
    <cellStyle name="Normal 3 5 3 2" xfId="6926" xr:uid="{A7A42089-3EE4-43AA-B333-61AC8F958240}"/>
    <cellStyle name="Normal 3 5 4" xfId="5220" xr:uid="{00000000-0005-0000-0000-0000D2100000}"/>
    <cellStyle name="Normal 3 5 5" xfId="5884" xr:uid="{00000000-0005-0000-0000-0000D3100000}"/>
    <cellStyle name="Normal 3 5 5 2" xfId="8713" xr:uid="{D7C5E12C-9A99-43E0-8F13-6F85746AB9A8}"/>
    <cellStyle name="Normal 3 5 6" xfId="6108" xr:uid="{00000000-0005-0000-0000-0000D4100000}"/>
    <cellStyle name="Normal 3 5 6 2" xfId="8898" xr:uid="{87E4D96E-4210-4587-BC71-58E1B1A4A6B3}"/>
    <cellStyle name="Normal 3 6" xfId="2796" xr:uid="{00000000-0005-0000-0000-0000D5100000}"/>
    <cellStyle name="Normal 3 6 2" xfId="5885" xr:uid="{00000000-0005-0000-0000-0000D6100000}"/>
    <cellStyle name="Normal 3 6 3" xfId="6935" xr:uid="{92794040-FAD2-4D46-A7E5-43C690BBBBC6}"/>
    <cellStyle name="Normal 3 7" xfId="2862" xr:uid="{00000000-0005-0000-0000-0000D7100000}"/>
    <cellStyle name="Normal 3 7 2" xfId="6940" xr:uid="{FA9A31C5-BA4B-4A55-A7B6-1528C5D02E71}"/>
    <cellStyle name="Normal 3 8" xfId="5565" xr:uid="{00000000-0005-0000-0000-0000D8100000}"/>
    <cellStyle name="Normal 3 8 2" xfId="8459" xr:uid="{F54FF279-155A-4934-A7B1-78D4A5B5CDFB}"/>
    <cellStyle name="Normal 3 9" xfId="624" xr:uid="{00000000-0005-0000-0000-0000D9100000}"/>
    <cellStyle name="Normal 30" xfId="4105" xr:uid="{00000000-0005-0000-0000-0000DA100000}"/>
    <cellStyle name="Normal 31" xfId="4104" xr:uid="{00000000-0005-0000-0000-0000DB100000}"/>
    <cellStyle name="Normal 32" xfId="4175" xr:uid="{00000000-0005-0000-0000-0000DC100000}"/>
    <cellStyle name="Normal 33" xfId="4102" xr:uid="{00000000-0005-0000-0000-0000DD100000}"/>
    <cellStyle name="Normal 34" xfId="4100" xr:uid="{00000000-0005-0000-0000-0000DE100000}"/>
    <cellStyle name="Normal 35" xfId="4099" xr:uid="{00000000-0005-0000-0000-0000DF100000}"/>
    <cellStyle name="Normal 36" xfId="4096" xr:uid="{00000000-0005-0000-0000-0000E0100000}"/>
    <cellStyle name="Normal 37" xfId="4174" xr:uid="{00000000-0005-0000-0000-0000E1100000}"/>
    <cellStyle name="Normal 38" xfId="4153" xr:uid="{00000000-0005-0000-0000-0000E2100000}"/>
    <cellStyle name="Normal 39" xfId="4147" xr:uid="{00000000-0005-0000-0000-0000E3100000}"/>
    <cellStyle name="Normal 4" xfId="432" xr:uid="{00000000-0005-0000-0000-0000E4100000}"/>
    <cellStyle name="Normal 4 10" xfId="4782" xr:uid="{00000000-0005-0000-0000-0000E5100000}"/>
    <cellStyle name="Normal 4 10 2" xfId="7851" xr:uid="{FC18DD76-1F00-4E47-9BF0-44411197D51A}"/>
    <cellStyle name="Normal 4 11" xfId="5246" xr:uid="{00000000-0005-0000-0000-0000E6100000}"/>
    <cellStyle name="Normal 4 11 2" xfId="8168" xr:uid="{825C235D-9068-4D32-BF49-F797303CC7C2}"/>
    <cellStyle name="Normal 4 12" xfId="635" xr:uid="{00000000-0005-0000-0000-0000E7100000}"/>
    <cellStyle name="Normal 4 12 2" xfId="6321" xr:uid="{EB7747E0-5612-47C6-973D-0DD8B10DFA7F}"/>
    <cellStyle name="Normal 4 13" xfId="6233" xr:uid="{D7F7C460-E2B7-469F-8543-29C950B4E5A1}"/>
    <cellStyle name="Normal 4 2" xfId="433" xr:uid="{00000000-0005-0000-0000-0000E8100000}"/>
    <cellStyle name="Normal 4 2 2" xfId="2294" xr:uid="{00000000-0005-0000-0000-0000E9100000}"/>
    <cellStyle name="Normal 4 2 3" xfId="664" xr:uid="{00000000-0005-0000-0000-0000EA100000}"/>
    <cellStyle name="Normal 4 2 3 2" xfId="5886" xr:uid="{00000000-0005-0000-0000-0000EB100000}"/>
    <cellStyle name="Normal 4 3" xfId="434" xr:uid="{00000000-0005-0000-0000-0000EC100000}"/>
    <cellStyle name="Normal 4 3 10" xfId="5249" xr:uid="{00000000-0005-0000-0000-0000ED100000}"/>
    <cellStyle name="Normal 4 3 10 2" xfId="8171" xr:uid="{15AB0571-D926-4572-A4A5-208266D57125}"/>
    <cellStyle name="Normal 4 3 11" xfId="638" xr:uid="{00000000-0005-0000-0000-0000EE100000}"/>
    <cellStyle name="Normal 4 3 11 2" xfId="6324" xr:uid="{2AD67EDA-D377-428E-9BB3-8440B0E54600}"/>
    <cellStyle name="Normal 4 3 12" xfId="5887" xr:uid="{00000000-0005-0000-0000-0000EF100000}"/>
    <cellStyle name="Normal 4 3 12 2" xfId="8714" xr:uid="{A22CEC26-C432-4B22-8702-CC8016492310}"/>
    <cellStyle name="Normal 4 3 13" xfId="6109" xr:uid="{00000000-0005-0000-0000-0000F0100000}"/>
    <cellStyle name="Normal 4 3 13 2" xfId="8899" xr:uid="{EAC1E842-4A30-4603-A2CC-FFB6C25F5EDC}"/>
    <cellStyle name="Normal 4 3 14" xfId="6234" xr:uid="{F229711A-1469-4CFE-B21A-9964D1A3FD79}"/>
    <cellStyle name="Normal 4 3 2" xfId="435" xr:uid="{00000000-0005-0000-0000-0000F1100000}"/>
    <cellStyle name="Normal 4 3 2 10" xfId="688" xr:uid="{00000000-0005-0000-0000-0000F2100000}"/>
    <cellStyle name="Normal 4 3 2 10 2" xfId="6355" xr:uid="{EE31730D-2A32-4CA2-84E7-67AD2D78F03F}"/>
    <cellStyle name="Normal 4 3 2 11" xfId="5888" xr:uid="{00000000-0005-0000-0000-0000F3100000}"/>
    <cellStyle name="Normal 4 3 2 11 2" xfId="8715" xr:uid="{E38FCF07-CFB0-452B-9A7B-AD063B80A2A7}"/>
    <cellStyle name="Normal 4 3 2 12" xfId="6110" xr:uid="{00000000-0005-0000-0000-0000F4100000}"/>
    <cellStyle name="Normal 4 3 2 12 2" xfId="8900" xr:uid="{7EF60EB6-41A0-423E-AA13-CE171726DDEA}"/>
    <cellStyle name="Normal 4 3 2 13" xfId="6235" xr:uid="{44734AFC-50BF-446E-9AAF-D4958FC42713}"/>
    <cellStyle name="Normal 4 3 2 2" xfId="436" xr:uid="{00000000-0005-0000-0000-0000F5100000}"/>
    <cellStyle name="Normal 4 3 2 2 10" xfId="5889" xr:uid="{00000000-0005-0000-0000-0000F6100000}"/>
    <cellStyle name="Normal 4 3 2 2 10 2" xfId="8716" xr:uid="{9FF582FE-C6D1-4DA3-8318-4B0E489F72B7}"/>
    <cellStyle name="Normal 4 3 2 2 11" xfId="6111" xr:uid="{00000000-0005-0000-0000-0000F7100000}"/>
    <cellStyle name="Normal 4 3 2 2 11 2" xfId="8901" xr:uid="{CFCCFE5B-6939-4217-9159-E70A9B0079E5}"/>
    <cellStyle name="Normal 4 3 2 2 12" xfId="6236" xr:uid="{BC500AA4-E93B-4F98-A42A-0769CE0C5AE0}"/>
    <cellStyle name="Normal 4 3 2 2 2" xfId="437" xr:uid="{00000000-0005-0000-0000-0000F8100000}"/>
    <cellStyle name="Normal 4 3 2 2 2 2" xfId="3430" xr:uid="{00000000-0005-0000-0000-0000F9100000}"/>
    <cellStyle name="Normal 4 3 2 2 2 2 2" xfId="4384" xr:uid="{00000000-0005-0000-0000-0000FA100000}"/>
    <cellStyle name="Normal 4 3 2 2 2 2 2 2" xfId="7611" xr:uid="{3A4602EE-7DD9-49D6-AEB6-03BF40987C04}"/>
    <cellStyle name="Normal 4 3 2 2 2 2 3" xfId="5182" xr:uid="{00000000-0005-0000-0000-0000FB100000}"/>
    <cellStyle name="Normal 4 3 2 2 2 2 3 2" xfId="8129" xr:uid="{1FF99AF8-662E-459E-BB77-15ED2E1583FF}"/>
    <cellStyle name="Normal 4 3 2 2 2 2 4" xfId="5360" xr:uid="{00000000-0005-0000-0000-0000FC100000}"/>
    <cellStyle name="Normal 4 3 2 2 2 2 4 2" xfId="8282" xr:uid="{596E81C5-54B5-4A0B-B40C-B0EA41A70C39}"/>
    <cellStyle name="Normal 4 3 2 2 2 2 5" xfId="7044" xr:uid="{6E8C8243-0D7C-44CF-95C4-0AE703193662}"/>
    <cellStyle name="Normal 4 3 2 2 2 3" xfId="4032" xr:uid="{00000000-0005-0000-0000-0000FD100000}"/>
    <cellStyle name="Normal 4 3 2 2 2 3 2" xfId="7336" xr:uid="{52A4EBD2-161D-43F5-BC0D-22864EA806ED}"/>
    <cellStyle name="Normal 4 3 2 2 2 4" xfId="4263" xr:uid="{00000000-0005-0000-0000-0000FE100000}"/>
    <cellStyle name="Normal 4 3 2 2 2 4 2" xfId="7490" xr:uid="{49DD12F5-CB2F-4F62-8624-F68326B38A3B}"/>
    <cellStyle name="Normal 4 3 2 2 2 5" xfId="5087" xr:uid="{00000000-0005-0000-0000-0000FF100000}"/>
    <cellStyle name="Normal 4 3 2 2 2 5 2" xfId="8044" xr:uid="{D41A4B2B-48FD-468C-B09C-2940E7E24663}"/>
    <cellStyle name="Normal 4 3 2 2 2 6" xfId="5301" xr:uid="{00000000-0005-0000-0000-000000110000}"/>
    <cellStyle name="Normal 4 3 2 2 2 6 2" xfId="8223" xr:uid="{6AC26F16-AF21-4431-AD4F-86B10175931A}"/>
    <cellStyle name="Normal 4 3 2 2 2 7" xfId="733" xr:uid="{00000000-0005-0000-0000-000001110000}"/>
    <cellStyle name="Normal 4 3 2 2 2 7 2" xfId="6396" xr:uid="{6F721A15-82EB-49F0-87A6-8E30611A0F87}"/>
    <cellStyle name="Normal 4 3 2 2 2 8" xfId="6237" xr:uid="{3F6DD7B4-C4E7-4B61-B1CE-2214397D4797}"/>
    <cellStyle name="Normal 4 3 2 2 3" xfId="1734" xr:uid="{00000000-0005-0000-0000-000002110000}"/>
    <cellStyle name="Normal 4 3 2 2 3 2" xfId="4031" xr:uid="{00000000-0005-0000-0000-000003110000}"/>
    <cellStyle name="Normal 4 3 2 2 3 2 2" xfId="4383" xr:uid="{00000000-0005-0000-0000-000004110000}"/>
    <cellStyle name="Normal 4 3 2 2 3 2 2 2" xfId="7610" xr:uid="{CBC5B7F6-0D44-42AE-922B-A0A1853B5957}"/>
    <cellStyle name="Normal 4 3 2 2 3 2 3" xfId="7335" xr:uid="{5B05D74D-7E96-43C1-AEC4-B3F26CEEA762}"/>
    <cellStyle name="Normal 4 3 2 2 3 3" xfId="4262" xr:uid="{00000000-0005-0000-0000-000005110000}"/>
    <cellStyle name="Normal 4 3 2 2 3 3 2" xfId="7489" xr:uid="{E5B8377B-1365-473B-92A1-862DA47B64D5}"/>
    <cellStyle name="Normal 4 3 2 2 3 4" xfId="5086" xr:uid="{00000000-0005-0000-0000-000006110000}"/>
    <cellStyle name="Normal 4 3 2 2 3 4 2" xfId="8043" xr:uid="{05FCEC8A-D630-48E1-98DB-411A2FB9E9EB}"/>
    <cellStyle name="Normal 4 3 2 2 3 5" xfId="5359" xr:uid="{00000000-0005-0000-0000-000007110000}"/>
    <cellStyle name="Normal 4 3 2 2 3 5 2" xfId="8281" xr:uid="{5E83969D-EFA0-4D73-9476-398A2B212CB2}"/>
    <cellStyle name="Normal 4 3 2 2 3 6" xfId="6529" xr:uid="{A85D6F69-3537-4D01-99C9-C653BB744AEF}"/>
    <cellStyle name="Normal 4 3 2 2 4" xfId="2926" xr:uid="{00000000-0005-0000-0000-000008110000}"/>
    <cellStyle name="Normal 4 3 2 2 4 2" xfId="4327" xr:uid="{00000000-0005-0000-0000-000009110000}"/>
    <cellStyle name="Normal 4 3 2 2 4 2 2" xfId="7554" xr:uid="{CB35A5B6-0979-400C-B4CD-D9471F500889}"/>
    <cellStyle name="Normal 4 3 2 2 4 3" xfId="6963" xr:uid="{B95C1F11-C37B-417E-93B7-7D73A8D8A8ED}"/>
    <cellStyle name="Normal 4 3 2 2 5" xfId="3975" xr:uid="{00000000-0005-0000-0000-00000A110000}"/>
    <cellStyle name="Normal 4 3 2 2 5 2" xfId="7279" xr:uid="{B5076840-812E-483D-ACC2-87C74D09F60F}"/>
    <cellStyle name="Normal 4 3 2 2 6" xfId="4206" xr:uid="{00000000-0005-0000-0000-00000B110000}"/>
    <cellStyle name="Normal 4 3 2 2 6 2" xfId="7433" xr:uid="{DB30FA48-1CE4-4719-8993-9B5EB2F228B9}"/>
    <cellStyle name="Normal 4 3 2 2 7" xfId="5020" xr:uid="{00000000-0005-0000-0000-00000C110000}"/>
    <cellStyle name="Normal 4 3 2 2 7 2" xfId="7987" xr:uid="{B3392006-3BC4-4D41-A195-AE4EA4FAAB5A}"/>
    <cellStyle name="Normal 4 3 2 2 8" xfId="5274" xr:uid="{00000000-0005-0000-0000-00000D110000}"/>
    <cellStyle name="Normal 4 3 2 2 8 2" xfId="8196" xr:uid="{856F822F-ACE2-4769-907A-F9DE9914B6A9}"/>
    <cellStyle name="Normal 4 3 2 2 9" xfId="703" xr:uid="{00000000-0005-0000-0000-00000E110000}"/>
    <cellStyle name="Normal 4 3 2 2 9 2" xfId="6369" xr:uid="{EEA29B22-84C2-4603-88CC-036D86A78ECF}"/>
    <cellStyle name="Normal 4 3 2 3" xfId="438" xr:uid="{00000000-0005-0000-0000-00000F110000}"/>
    <cellStyle name="Normal 4 3 2 3 2" xfId="3431" xr:uid="{00000000-0005-0000-0000-000010110000}"/>
    <cellStyle name="Normal 4 3 2 3 2 2" xfId="4385" xr:uid="{00000000-0005-0000-0000-000011110000}"/>
    <cellStyle name="Normal 4 3 2 3 2 2 2" xfId="7612" xr:uid="{AEF03369-BC0E-4547-AAF7-7CF6905AD254}"/>
    <cellStyle name="Normal 4 3 2 3 2 3" xfId="5183" xr:uid="{00000000-0005-0000-0000-000012110000}"/>
    <cellStyle name="Normal 4 3 2 3 2 3 2" xfId="8130" xr:uid="{1D139370-BDB4-46B2-AE4C-9B00CF8BAD73}"/>
    <cellStyle name="Normal 4 3 2 3 2 4" xfId="5361" xr:uid="{00000000-0005-0000-0000-000013110000}"/>
    <cellStyle name="Normal 4 3 2 3 2 4 2" xfId="8283" xr:uid="{6FF713C6-AA28-46F6-AE13-FDFCE9BA9392}"/>
    <cellStyle name="Normal 4 3 2 3 2 5" xfId="7045" xr:uid="{554D8033-0C7C-4D1D-BDBF-44530A80384C}"/>
    <cellStyle name="Normal 4 3 2 3 3" xfId="4033" xr:uid="{00000000-0005-0000-0000-000014110000}"/>
    <cellStyle name="Normal 4 3 2 3 3 2" xfId="7337" xr:uid="{797010BF-819A-47B7-BC94-4CE4FB939C6A}"/>
    <cellStyle name="Normal 4 3 2 3 4" xfId="4264" xr:uid="{00000000-0005-0000-0000-000015110000}"/>
    <cellStyle name="Normal 4 3 2 3 4 2" xfId="7491" xr:uid="{72D61F53-9806-4FCB-8BD0-B7C89BA500AE}"/>
    <cellStyle name="Normal 4 3 2 3 5" xfId="5088" xr:uid="{00000000-0005-0000-0000-000016110000}"/>
    <cellStyle name="Normal 4 3 2 3 5 2" xfId="8045" xr:uid="{44901437-E6F3-4BD4-8D07-25D78E8BABF2}"/>
    <cellStyle name="Normal 4 3 2 3 6" xfId="5300" xr:uid="{00000000-0005-0000-0000-000017110000}"/>
    <cellStyle name="Normal 4 3 2 3 6 2" xfId="8222" xr:uid="{2A648969-F84E-478E-8D6D-CF5EDDBECBAC}"/>
    <cellStyle name="Normal 4 3 2 3 7" xfId="732" xr:uid="{00000000-0005-0000-0000-000018110000}"/>
    <cellStyle name="Normal 4 3 2 3 7 2" xfId="6395" xr:uid="{FD1514D0-61BB-4E63-8FF8-FF8C807330E8}"/>
    <cellStyle name="Normal 4 3 2 3 8" xfId="6238" xr:uid="{E2F647FB-E598-4456-A293-483E07876D9B}"/>
    <cellStyle name="Normal 4 3 2 4" xfId="1733" xr:uid="{00000000-0005-0000-0000-000019110000}"/>
    <cellStyle name="Normal 4 3 2 4 2" xfId="4030" xr:uid="{00000000-0005-0000-0000-00001A110000}"/>
    <cellStyle name="Normal 4 3 2 4 2 2" xfId="4382" xr:uid="{00000000-0005-0000-0000-00001B110000}"/>
    <cellStyle name="Normal 4 3 2 4 2 2 2" xfId="7609" xr:uid="{FBD8D069-30FE-46E5-A83E-C639C8C057C4}"/>
    <cellStyle name="Normal 4 3 2 4 2 3" xfId="7334" xr:uid="{E7A32A2B-3C50-441B-BBC3-90B356B1125C}"/>
    <cellStyle name="Normal 4 3 2 4 3" xfId="4261" xr:uid="{00000000-0005-0000-0000-00001C110000}"/>
    <cellStyle name="Normal 4 3 2 4 3 2" xfId="7488" xr:uid="{495430E9-8D53-47A4-9AF9-4FF677EFF424}"/>
    <cellStyle name="Normal 4 3 2 4 4" xfId="5085" xr:uid="{00000000-0005-0000-0000-00001D110000}"/>
    <cellStyle name="Normal 4 3 2 4 4 2" xfId="8042" xr:uid="{7143B1E5-5249-42DF-B8CF-A8BA55978977}"/>
    <cellStyle name="Normal 4 3 2 4 5" xfId="5358" xr:uid="{00000000-0005-0000-0000-00001E110000}"/>
    <cellStyle name="Normal 4 3 2 4 5 2" xfId="8280" xr:uid="{E6DC41C2-F1EE-46F9-A972-806539AE1149}"/>
    <cellStyle name="Normal 4 3 2 4 6" xfId="6528" xr:uid="{1C19F280-3793-4B53-8EDF-970C022CBC04}"/>
    <cellStyle name="Normal 4 3 2 5" xfId="2925" xr:uid="{00000000-0005-0000-0000-00001F110000}"/>
    <cellStyle name="Normal 4 3 2 5 2" xfId="4326" xr:uid="{00000000-0005-0000-0000-000020110000}"/>
    <cellStyle name="Normal 4 3 2 5 2 2" xfId="7553" xr:uid="{863014AA-AC1F-4EC3-89AE-29192A4BA84C}"/>
    <cellStyle name="Normal 4 3 2 5 3" xfId="6962" xr:uid="{6973FEB1-27E0-41BE-9F64-2517E978CA73}"/>
    <cellStyle name="Normal 4 3 2 6" xfId="3974" xr:uid="{00000000-0005-0000-0000-000021110000}"/>
    <cellStyle name="Normal 4 3 2 6 2" xfId="7278" xr:uid="{53D1C508-2EA2-497E-B10E-F0B6A49CB397}"/>
    <cellStyle name="Normal 4 3 2 7" xfId="4205" xr:uid="{00000000-0005-0000-0000-000022110000}"/>
    <cellStyle name="Normal 4 3 2 7 2" xfId="7432" xr:uid="{7205E399-7BED-4AA9-B8E8-360DDC5E44E6}"/>
    <cellStyle name="Normal 4 3 2 8" xfId="5019" xr:uid="{00000000-0005-0000-0000-000023110000}"/>
    <cellStyle name="Normal 4 3 2 8 2" xfId="7986" xr:uid="{DE02186C-CEE9-4673-9C9A-E7B6ABD42370}"/>
    <cellStyle name="Normal 4 3 2 9" xfId="5260" xr:uid="{00000000-0005-0000-0000-000024110000}"/>
    <cellStyle name="Normal 4 3 2 9 2" xfId="8182" xr:uid="{CB9850DA-4382-47C0-88EA-9E26823931A1}"/>
    <cellStyle name="Normal 4 3 3" xfId="439" xr:uid="{00000000-0005-0000-0000-000025110000}"/>
    <cellStyle name="Normal 4 3 3 10" xfId="5890" xr:uid="{00000000-0005-0000-0000-000026110000}"/>
    <cellStyle name="Normal 4 3 3 10 2" xfId="8717" xr:uid="{9E4719C3-0E97-47E9-9D92-36B576AD7528}"/>
    <cellStyle name="Normal 4 3 3 11" xfId="6112" xr:uid="{00000000-0005-0000-0000-000027110000}"/>
    <cellStyle name="Normal 4 3 3 11 2" xfId="8902" xr:uid="{A3463DDA-A47C-49EF-87BF-3498143D670F}"/>
    <cellStyle name="Normal 4 3 3 12" xfId="6239" xr:uid="{56A1A32A-C420-449E-B3CA-B24372E44B36}"/>
    <cellStyle name="Normal 4 3 3 2" xfId="440" xr:uid="{00000000-0005-0000-0000-000028110000}"/>
    <cellStyle name="Normal 4 3 3 2 2" xfId="3432" xr:uid="{00000000-0005-0000-0000-000029110000}"/>
    <cellStyle name="Normal 4 3 3 2 2 2" xfId="4387" xr:uid="{00000000-0005-0000-0000-00002A110000}"/>
    <cellStyle name="Normal 4 3 3 2 2 2 2" xfId="7614" xr:uid="{E05AE8A0-97EB-4A54-832B-14C3C100705D}"/>
    <cellStyle name="Normal 4 3 3 2 2 3" xfId="5185" xr:uid="{00000000-0005-0000-0000-00002B110000}"/>
    <cellStyle name="Normal 4 3 3 2 2 3 2" xfId="8132" xr:uid="{C269E01F-062F-410C-B4C6-73CFD07BFD5A}"/>
    <cellStyle name="Normal 4 3 3 2 2 4" xfId="5363" xr:uid="{00000000-0005-0000-0000-00002C110000}"/>
    <cellStyle name="Normal 4 3 3 2 2 4 2" xfId="8285" xr:uid="{6797D7F7-90DE-4A7C-B012-F1ACF775380C}"/>
    <cellStyle name="Normal 4 3 3 2 2 5" xfId="7046" xr:uid="{4B156BFD-2C01-45EB-A903-59F9A5D65EF3}"/>
    <cellStyle name="Normal 4 3 3 2 3" xfId="4035" xr:uid="{00000000-0005-0000-0000-00002D110000}"/>
    <cellStyle name="Normal 4 3 3 2 3 2" xfId="7339" xr:uid="{A24F151C-7F9C-45ED-86EC-B9B78A1D4B77}"/>
    <cellStyle name="Normal 4 3 3 2 4" xfId="4266" xr:uid="{00000000-0005-0000-0000-00002E110000}"/>
    <cellStyle name="Normal 4 3 3 2 4 2" xfId="7493" xr:uid="{2612DA1F-2CE5-4DE9-9D08-14872F078BB6}"/>
    <cellStyle name="Normal 4 3 3 2 5" xfId="5090" xr:uid="{00000000-0005-0000-0000-00002F110000}"/>
    <cellStyle name="Normal 4 3 3 2 5 2" xfId="8047" xr:uid="{956A00D2-6CF8-4AAC-AF3A-6D5ABE6E6A4D}"/>
    <cellStyle name="Normal 4 3 3 2 6" xfId="5302" xr:uid="{00000000-0005-0000-0000-000030110000}"/>
    <cellStyle name="Normal 4 3 3 2 6 2" xfId="8224" xr:uid="{12CEF4D4-93AC-4062-9DAB-2FCB3B5A80F1}"/>
    <cellStyle name="Normal 4 3 3 2 7" xfId="734" xr:uid="{00000000-0005-0000-0000-000031110000}"/>
    <cellStyle name="Normal 4 3 3 2 7 2" xfId="6397" xr:uid="{D353231E-12FA-4858-A692-56969591F793}"/>
    <cellStyle name="Normal 4 3 3 2 8" xfId="6240" xr:uid="{AA79CAB9-765D-48CE-B0EF-5427B351C93E}"/>
    <cellStyle name="Normal 4 3 3 3" xfId="1735" xr:uid="{00000000-0005-0000-0000-000032110000}"/>
    <cellStyle name="Normal 4 3 3 3 2" xfId="4034" xr:uid="{00000000-0005-0000-0000-000033110000}"/>
    <cellStyle name="Normal 4 3 3 3 2 2" xfId="4386" xr:uid="{00000000-0005-0000-0000-000034110000}"/>
    <cellStyle name="Normal 4 3 3 3 2 2 2" xfId="7613" xr:uid="{0BBBA8B9-0C9D-4474-A2D5-24FA42A1B93A}"/>
    <cellStyle name="Normal 4 3 3 3 2 3" xfId="7338" xr:uid="{5260BB5E-E985-47F1-9F93-A0474205F22F}"/>
    <cellStyle name="Normal 4 3 3 3 3" xfId="4265" xr:uid="{00000000-0005-0000-0000-000035110000}"/>
    <cellStyle name="Normal 4 3 3 3 3 2" xfId="7492" xr:uid="{8A0AB205-A231-489F-9A42-5A3CA382F970}"/>
    <cellStyle name="Normal 4 3 3 3 4" xfId="5089" xr:uid="{00000000-0005-0000-0000-000036110000}"/>
    <cellStyle name="Normal 4 3 3 3 4 2" xfId="8046" xr:uid="{451DA177-6390-4D22-ADDC-857A0F6327D5}"/>
    <cellStyle name="Normal 4 3 3 3 5" xfId="5362" xr:uid="{00000000-0005-0000-0000-000037110000}"/>
    <cellStyle name="Normal 4 3 3 3 5 2" xfId="8284" xr:uid="{34F4C400-04B7-4D03-8859-B1BD8AFE45E6}"/>
    <cellStyle name="Normal 4 3 3 3 6" xfId="6530" xr:uid="{E3B92BC5-320B-44AC-8E99-541C155DE1CC}"/>
    <cellStyle name="Normal 4 3 3 4" xfId="2927" xr:uid="{00000000-0005-0000-0000-000038110000}"/>
    <cellStyle name="Normal 4 3 3 4 2" xfId="4328" xr:uid="{00000000-0005-0000-0000-000039110000}"/>
    <cellStyle name="Normal 4 3 3 4 2 2" xfId="7555" xr:uid="{FF41E039-1ED9-41B1-AB34-4528A5702486}"/>
    <cellStyle name="Normal 4 3 3 4 3" xfId="6964" xr:uid="{5CD50692-D82C-48AC-B374-183965D79E5A}"/>
    <cellStyle name="Normal 4 3 3 5" xfId="3976" xr:uid="{00000000-0005-0000-0000-00003A110000}"/>
    <cellStyle name="Normal 4 3 3 5 2" xfId="7280" xr:uid="{4DEC6C01-8166-41D3-AA8B-75801A82D499}"/>
    <cellStyle name="Normal 4 3 3 6" xfId="4207" xr:uid="{00000000-0005-0000-0000-00003B110000}"/>
    <cellStyle name="Normal 4 3 3 6 2" xfId="7434" xr:uid="{0D2BC30D-A56E-452D-9D06-F4EC843C06B9}"/>
    <cellStyle name="Normal 4 3 3 7" xfId="5021" xr:uid="{00000000-0005-0000-0000-00003C110000}"/>
    <cellStyle name="Normal 4 3 3 7 2" xfId="7988" xr:uid="{1F6AEEA3-5333-4903-81DB-C5F6F831DE94}"/>
    <cellStyle name="Normal 4 3 3 8" xfId="5273" xr:uid="{00000000-0005-0000-0000-00003D110000}"/>
    <cellStyle name="Normal 4 3 3 8 2" xfId="8195" xr:uid="{493E4761-BD8E-4855-9FC0-FA0612180432}"/>
    <cellStyle name="Normal 4 3 3 9" xfId="702" xr:uid="{00000000-0005-0000-0000-00003E110000}"/>
    <cellStyle name="Normal 4 3 3 9 2" xfId="6368" xr:uid="{D6FC60B4-49E2-449D-952E-B199337EE452}"/>
    <cellStyle name="Normal 4 3 4" xfId="441" xr:uid="{00000000-0005-0000-0000-00003F110000}"/>
    <cellStyle name="Normal 4 3 4 2" xfId="3433" xr:uid="{00000000-0005-0000-0000-000040110000}"/>
    <cellStyle name="Normal 4 3 4 2 2" xfId="4388" xr:uid="{00000000-0005-0000-0000-000041110000}"/>
    <cellStyle name="Normal 4 3 4 2 2 2" xfId="7615" xr:uid="{D6BAF808-2ADF-4EDD-9B81-0CEF92215313}"/>
    <cellStyle name="Normal 4 3 4 2 3" xfId="5186" xr:uid="{00000000-0005-0000-0000-000042110000}"/>
    <cellStyle name="Normal 4 3 4 2 3 2" xfId="8133" xr:uid="{F72F2ADF-E920-4352-943E-991C571FF3F2}"/>
    <cellStyle name="Normal 4 3 4 2 4" xfId="5364" xr:uid="{00000000-0005-0000-0000-000043110000}"/>
    <cellStyle name="Normal 4 3 4 2 4 2" xfId="8286" xr:uid="{C52023BC-82E1-4D80-BC17-75FF8803F24E}"/>
    <cellStyle name="Normal 4 3 4 2 5" xfId="7047" xr:uid="{74D452AA-4CEB-4B05-8715-E84F3E577C07}"/>
    <cellStyle name="Normal 4 3 4 3" xfId="4036" xr:uid="{00000000-0005-0000-0000-000044110000}"/>
    <cellStyle name="Normal 4 3 4 3 2" xfId="7340" xr:uid="{8A37830B-982E-4C25-8378-3898FD06D910}"/>
    <cellStyle name="Normal 4 3 4 4" xfId="4267" xr:uid="{00000000-0005-0000-0000-000045110000}"/>
    <cellStyle name="Normal 4 3 4 4 2" xfId="7494" xr:uid="{418AA584-A31F-449A-A26C-2FEA8FA5BCDB}"/>
    <cellStyle name="Normal 4 3 4 5" xfId="5091" xr:uid="{00000000-0005-0000-0000-000046110000}"/>
    <cellStyle name="Normal 4 3 4 5 2" xfId="8048" xr:uid="{4CEA6115-7F48-4452-81F1-ABF30701842B}"/>
    <cellStyle name="Normal 4 3 4 6" xfId="5299" xr:uid="{00000000-0005-0000-0000-000047110000}"/>
    <cellStyle name="Normal 4 3 4 6 2" xfId="8221" xr:uid="{1CAD4D5D-3945-406D-9062-5D2B9F370A55}"/>
    <cellStyle name="Normal 4 3 4 7" xfId="731" xr:uid="{00000000-0005-0000-0000-000048110000}"/>
    <cellStyle name="Normal 4 3 4 7 2" xfId="6394" xr:uid="{F65666D0-D7E6-4A99-B19F-DC25740E4099}"/>
    <cellStyle name="Normal 4 3 4 8" xfId="6241" xr:uid="{B417D965-6416-434C-B823-D23E2B9D84EC}"/>
    <cellStyle name="Normal 4 3 5" xfId="1732" xr:uid="{00000000-0005-0000-0000-000049110000}"/>
    <cellStyle name="Normal 4 3 5 2" xfId="4029" xr:uid="{00000000-0005-0000-0000-00004A110000}"/>
    <cellStyle name="Normal 4 3 5 2 2" xfId="4381" xr:uid="{00000000-0005-0000-0000-00004B110000}"/>
    <cellStyle name="Normal 4 3 5 2 2 2" xfId="7608" xr:uid="{54484977-0FC6-459E-814B-CCBA08BD3749}"/>
    <cellStyle name="Normal 4 3 5 2 3" xfId="7333" xr:uid="{F4E621AB-007F-4C0B-B4AA-DC40F5AA47A2}"/>
    <cellStyle name="Normal 4 3 5 3" xfId="4260" xr:uid="{00000000-0005-0000-0000-00004C110000}"/>
    <cellStyle name="Normal 4 3 5 3 2" xfId="7487" xr:uid="{F53A93FC-F638-4DF1-AEC6-E7DA5FBBA36F}"/>
    <cellStyle name="Normal 4 3 5 4" xfId="5084" xr:uid="{00000000-0005-0000-0000-00004D110000}"/>
    <cellStyle name="Normal 4 3 5 4 2" xfId="8041" xr:uid="{0B594C52-0E87-43EC-A86D-20DBD4E2637A}"/>
    <cellStyle name="Normal 4 3 5 5" xfId="5357" xr:uid="{00000000-0005-0000-0000-00004E110000}"/>
    <cellStyle name="Normal 4 3 5 5 2" xfId="8279" xr:uid="{41CEA484-D3D4-4EBB-931E-4936A3C9F912}"/>
    <cellStyle name="Normal 4 3 5 6" xfId="6527" xr:uid="{1400C8CE-3B25-47D5-B709-6D0432EE97C6}"/>
    <cellStyle name="Normal 4 3 6" xfId="2924" xr:uid="{00000000-0005-0000-0000-00004F110000}"/>
    <cellStyle name="Normal 4 3 6 2" xfId="4325" xr:uid="{00000000-0005-0000-0000-000050110000}"/>
    <cellStyle name="Normal 4 3 6 2 2" xfId="7552" xr:uid="{95327D86-9CE8-44F2-A94E-8303FF795E2B}"/>
    <cellStyle name="Normal 4 3 6 3" xfId="6961" xr:uid="{809FECB0-7C27-4906-98CA-D247B5FD1F42}"/>
    <cellStyle name="Normal 4 3 7" xfId="3973" xr:uid="{00000000-0005-0000-0000-000051110000}"/>
    <cellStyle name="Normal 4 3 7 2" xfId="7277" xr:uid="{F5D3CD76-D89E-4B1D-A532-952C94E2A0EB}"/>
    <cellStyle name="Normal 4 3 8" xfId="4204" xr:uid="{00000000-0005-0000-0000-000052110000}"/>
    <cellStyle name="Normal 4 3 8 2" xfId="7431" xr:uid="{15BAB4AE-9DB9-4260-A9DF-172E02D15B7C}"/>
    <cellStyle name="Normal 4 3 9" xfId="5018" xr:uid="{00000000-0005-0000-0000-000053110000}"/>
    <cellStyle name="Normal 4 3 9 2" xfId="7985" xr:uid="{7F44270C-634A-432E-A581-62FFC2EB72BE}"/>
    <cellStyle name="Normal 4 4" xfId="442" xr:uid="{00000000-0005-0000-0000-000054110000}"/>
    <cellStyle name="Normal 4 4 10" xfId="5253" xr:uid="{00000000-0005-0000-0000-000055110000}"/>
    <cellStyle name="Normal 4 4 10 2" xfId="8175" xr:uid="{B9E0BEC2-5A49-486C-A210-62286D904DE4}"/>
    <cellStyle name="Normal 4 4 11" xfId="679" xr:uid="{00000000-0005-0000-0000-000056110000}"/>
    <cellStyle name="Normal 4 4 11 2" xfId="6348" xr:uid="{43213E0F-40AA-4A13-8D4C-83E1153CE92D}"/>
    <cellStyle name="Normal 4 4 12" xfId="5891" xr:uid="{00000000-0005-0000-0000-000057110000}"/>
    <cellStyle name="Normal 4 4 13" xfId="6242" xr:uid="{1E4E47F1-5335-4C6C-926D-0141596AB050}"/>
    <cellStyle name="Normal 4 4 2" xfId="443" xr:uid="{00000000-0005-0000-0000-000058110000}"/>
    <cellStyle name="Normal 4 4 2 10" xfId="691" xr:uid="{00000000-0005-0000-0000-000059110000}"/>
    <cellStyle name="Normal 4 4 2 10 2" xfId="6358" xr:uid="{BC8EAA0C-9D0A-4193-8CFB-E4BB69672F3B}"/>
    <cellStyle name="Normal 4 4 2 11" xfId="5892" xr:uid="{00000000-0005-0000-0000-00005A110000}"/>
    <cellStyle name="Normal 4 4 2 11 2" xfId="8718" xr:uid="{A5F01706-3B94-4265-A20A-7ED266284146}"/>
    <cellStyle name="Normal 4 4 2 12" xfId="6113" xr:uid="{00000000-0005-0000-0000-00005B110000}"/>
    <cellStyle name="Normal 4 4 2 12 2" xfId="8903" xr:uid="{708B3587-EFCE-4A47-B574-0C4DBF3DFCF9}"/>
    <cellStyle name="Normal 4 4 2 13" xfId="6243" xr:uid="{F18357CF-BE46-4B84-A7E3-904BB202F092}"/>
    <cellStyle name="Normal 4 4 2 2" xfId="444" xr:uid="{00000000-0005-0000-0000-00005C110000}"/>
    <cellStyle name="Normal 4 4 2 2 10" xfId="5893" xr:uid="{00000000-0005-0000-0000-00005D110000}"/>
    <cellStyle name="Normal 4 4 2 2 10 2" xfId="8719" xr:uid="{734E511B-E39B-4A93-AD9D-A23D6BAB8E21}"/>
    <cellStyle name="Normal 4 4 2 2 11" xfId="6114" xr:uid="{00000000-0005-0000-0000-00005E110000}"/>
    <cellStyle name="Normal 4 4 2 2 11 2" xfId="8904" xr:uid="{492C14D7-2760-40A7-B326-9EC1A24CC820}"/>
    <cellStyle name="Normal 4 4 2 2 12" xfId="6244" xr:uid="{F4C63915-39F2-4D55-8AA8-32EEC6769C59}"/>
    <cellStyle name="Normal 4 4 2 2 2" xfId="445" xr:uid="{00000000-0005-0000-0000-00005F110000}"/>
    <cellStyle name="Normal 4 4 2 2 2 2" xfId="3434" xr:uid="{00000000-0005-0000-0000-000060110000}"/>
    <cellStyle name="Normal 4 4 2 2 2 2 2" xfId="4392" xr:uid="{00000000-0005-0000-0000-000061110000}"/>
    <cellStyle name="Normal 4 4 2 2 2 2 2 2" xfId="7619" xr:uid="{C16E6D79-5EDE-4318-9635-E51CD2A6028B}"/>
    <cellStyle name="Normal 4 4 2 2 2 2 3" xfId="5187" xr:uid="{00000000-0005-0000-0000-000062110000}"/>
    <cellStyle name="Normal 4 4 2 2 2 2 3 2" xfId="8134" xr:uid="{7FF71215-5C42-4754-8B8A-AF0C24367D1C}"/>
    <cellStyle name="Normal 4 4 2 2 2 2 4" xfId="5368" xr:uid="{00000000-0005-0000-0000-000063110000}"/>
    <cellStyle name="Normal 4 4 2 2 2 2 4 2" xfId="8290" xr:uid="{481B27C8-0163-4AAE-A027-D036F3A2F893}"/>
    <cellStyle name="Normal 4 4 2 2 2 2 5" xfId="7048" xr:uid="{248C7460-EB48-45F1-AEDF-B6EF4DDF379F}"/>
    <cellStyle name="Normal 4 4 2 2 2 3" xfId="4040" xr:uid="{00000000-0005-0000-0000-000064110000}"/>
    <cellStyle name="Normal 4 4 2 2 2 3 2" xfId="7344" xr:uid="{A44F187F-1880-41B3-A8C9-E4B993EF932D}"/>
    <cellStyle name="Normal 4 4 2 2 2 4" xfId="4271" xr:uid="{00000000-0005-0000-0000-000065110000}"/>
    <cellStyle name="Normal 4 4 2 2 2 4 2" xfId="7498" xr:uid="{A90F5EE3-666B-4362-B99A-1EEF2E7C4CAF}"/>
    <cellStyle name="Normal 4 4 2 2 2 5" xfId="5095" xr:uid="{00000000-0005-0000-0000-000066110000}"/>
    <cellStyle name="Normal 4 4 2 2 2 5 2" xfId="8052" xr:uid="{EA541DE1-97D3-47A4-8F36-9B12D364BD64}"/>
    <cellStyle name="Normal 4 4 2 2 2 6" xfId="5305" xr:uid="{00000000-0005-0000-0000-000067110000}"/>
    <cellStyle name="Normal 4 4 2 2 2 6 2" xfId="8227" xr:uid="{3AD8C841-EAA7-4F11-9868-E5E8AA988621}"/>
    <cellStyle name="Normal 4 4 2 2 2 7" xfId="737" xr:uid="{00000000-0005-0000-0000-000068110000}"/>
    <cellStyle name="Normal 4 4 2 2 2 7 2" xfId="6400" xr:uid="{167FE622-4B52-4309-A25F-727C20F4D09B}"/>
    <cellStyle name="Normal 4 4 2 2 2 8" xfId="6245" xr:uid="{C3EBDA0E-1CDB-481E-8F86-9CC014F765C6}"/>
    <cellStyle name="Normal 4 4 2 2 3" xfId="1738" xr:uid="{00000000-0005-0000-0000-000069110000}"/>
    <cellStyle name="Normal 4 4 2 2 3 2" xfId="4039" xr:uid="{00000000-0005-0000-0000-00006A110000}"/>
    <cellStyle name="Normal 4 4 2 2 3 2 2" xfId="4391" xr:uid="{00000000-0005-0000-0000-00006B110000}"/>
    <cellStyle name="Normal 4 4 2 2 3 2 2 2" xfId="7618" xr:uid="{F3BB637B-D947-4053-9311-B57B9904F28F}"/>
    <cellStyle name="Normal 4 4 2 2 3 2 3" xfId="7343" xr:uid="{A59ED205-8B1C-4AEC-89B9-937993A3FA3D}"/>
    <cellStyle name="Normal 4 4 2 2 3 3" xfId="4270" xr:uid="{00000000-0005-0000-0000-00006C110000}"/>
    <cellStyle name="Normal 4 4 2 2 3 3 2" xfId="7497" xr:uid="{B5E3691F-D7AD-448A-87AC-8161F44D0F1B}"/>
    <cellStyle name="Normal 4 4 2 2 3 4" xfId="5094" xr:uid="{00000000-0005-0000-0000-00006D110000}"/>
    <cellStyle name="Normal 4 4 2 2 3 4 2" xfId="8051" xr:uid="{426C4693-2BAF-45E0-A367-491D2091EB50}"/>
    <cellStyle name="Normal 4 4 2 2 3 5" xfId="5367" xr:uid="{00000000-0005-0000-0000-00006E110000}"/>
    <cellStyle name="Normal 4 4 2 2 3 5 2" xfId="8289" xr:uid="{3A1C785C-403A-45CE-BE10-077FAC71BC08}"/>
    <cellStyle name="Normal 4 4 2 2 3 6" xfId="6533" xr:uid="{C9277D58-E7C7-49FF-8085-00950A5274C3}"/>
    <cellStyle name="Normal 4 4 2 2 4" xfId="2930" xr:uid="{00000000-0005-0000-0000-00006F110000}"/>
    <cellStyle name="Normal 4 4 2 2 4 2" xfId="4331" xr:uid="{00000000-0005-0000-0000-000070110000}"/>
    <cellStyle name="Normal 4 4 2 2 4 2 2" xfId="7558" xr:uid="{97DED2EE-1CEB-45B2-93BA-1F24EBA4EAD7}"/>
    <cellStyle name="Normal 4 4 2 2 4 3" xfId="6967" xr:uid="{AFE58393-A42F-4CEA-87A0-4FBDF3FFD432}"/>
    <cellStyle name="Normal 4 4 2 2 5" xfId="3979" xr:uid="{00000000-0005-0000-0000-000071110000}"/>
    <cellStyle name="Normal 4 4 2 2 5 2" xfId="7283" xr:uid="{9F64B3E4-4107-4649-8900-A4816281E472}"/>
    <cellStyle name="Normal 4 4 2 2 6" xfId="4210" xr:uid="{00000000-0005-0000-0000-000072110000}"/>
    <cellStyle name="Normal 4 4 2 2 6 2" xfId="7437" xr:uid="{515113B9-C211-4741-9993-53B3C38091C6}"/>
    <cellStyle name="Normal 4 4 2 2 7" xfId="5024" xr:uid="{00000000-0005-0000-0000-000073110000}"/>
    <cellStyle name="Normal 4 4 2 2 7 2" xfId="7991" xr:uid="{183FFB0A-0DD4-4FA8-AAB3-CD7697C00C8F}"/>
    <cellStyle name="Normal 4 4 2 2 8" xfId="5276" xr:uid="{00000000-0005-0000-0000-000074110000}"/>
    <cellStyle name="Normal 4 4 2 2 8 2" xfId="8198" xr:uid="{B798F73B-88E1-4559-8F5B-A29ECEEF94C2}"/>
    <cellStyle name="Normal 4 4 2 2 9" xfId="705" xr:uid="{00000000-0005-0000-0000-000075110000}"/>
    <cellStyle name="Normal 4 4 2 2 9 2" xfId="6371" xr:uid="{73B0DAEC-001C-4724-9EF3-8C1E7D1F806E}"/>
    <cellStyle name="Normal 4 4 2 3" xfId="446" xr:uid="{00000000-0005-0000-0000-000076110000}"/>
    <cellStyle name="Normal 4 4 2 3 2" xfId="3435" xr:uid="{00000000-0005-0000-0000-000077110000}"/>
    <cellStyle name="Normal 4 4 2 3 2 2" xfId="4393" xr:uid="{00000000-0005-0000-0000-000078110000}"/>
    <cellStyle name="Normal 4 4 2 3 2 2 2" xfId="7620" xr:uid="{06676563-6679-4071-822D-C841208D61CF}"/>
    <cellStyle name="Normal 4 4 2 3 2 3" xfId="5188" xr:uid="{00000000-0005-0000-0000-000079110000}"/>
    <cellStyle name="Normal 4 4 2 3 2 3 2" xfId="8135" xr:uid="{553F25A0-775C-4275-95B5-9B14880CD9E3}"/>
    <cellStyle name="Normal 4 4 2 3 2 4" xfId="5369" xr:uid="{00000000-0005-0000-0000-00007A110000}"/>
    <cellStyle name="Normal 4 4 2 3 2 4 2" xfId="8291" xr:uid="{1670FCAB-9D97-41CF-B09B-B67EA94CB2ED}"/>
    <cellStyle name="Normal 4 4 2 3 2 5" xfId="7049" xr:uid="{DA4A46F4-367B-4C5B-94FF-69D479417710}"/>
    <cellStyle name="Normal 4 4 2 3 3" xfId="4041" xr:uid="{00000000-0005-0000-0000-00007B110000}"/>
    <cellStyle name="Normal 4 4 2 3 3 2" xfId="7345" xr:uid="{8DF0481B-9C9C-4132-8E5A-E452A17BB1C3}"/>
    <cellStyle name="Normal 4 4 2 3 4" xfId="4272" xr:uid="{00000000-0005-0000-0000-00007C110000}"/>
    <cellStyle name="Normal 4 4 2 3 4 2" xfId="7499" xr:uid="{B10E1500-46AE-46E8-A6C8-63F90FE5A2CF}"/>
    <cellStyle name="Normal 4 4 2 3 5" xfId="5096" xr:uid="{00000000-0005-0000-0000-00007D110000}"/>
    <cellStyle name="Normal 4 4 2 3 5 2" xfId="8053" xr:uid="{31E553A3-2996-439A-A1B9-AC6968D203BD}"/>
    <cellStyle name="Normal 4 4 2 3 6" xfId="5304" xr:uid="{00000000-0005-0000-0000-00007E110000}"/>
    <cellStyle name="Normal 4 4 2 3 6 2" xfId="8226" xr:uid="{3D822B22-F76C-47DF-8863-3F7755EB38FA}"/>
    <cellStyle name="Normal 4 4 2 3 7" xfId="736" xr:uid="{00000000-0005-0000-0000-00007F110000}"/>
    <cellStyle name="Normal 4 4 2 3 7 2" xfId="6399" xr:uid="{B035CF19-9F03-40F1-A529-C617006D5C91}"/>
    <cellStyle name="Normal 4 4 2 3 8" xfId="6246" xr:uid="{0B5EE4C3-1FDB-45AB-97F2-599E09F81CE8}"/>
    <cellStyle name="Normal 4 4 2 4" xfId="1737" xr:uid="{00000000-0005-0000-0000-000080110000}"/>
    <cellStyle name="Normal 4 4 2 4 2" xfId="4038" xr:uid="{00000000-0005-0000-0000-000081110000}"/>
    <cellStyle name="Normal 4 4 2 4 2 2" xfId="4390" xr:uid="{00000000-0005-0000-0000-000082110000}"/>
    <cellStyle name="Normal 4 4 2 4 2 2 2" xfId="7617" xr:uid="{658F67B7-289C-4792-B4F8-ED98DA0560C9}"/>
    <cellStyle name="Normal 4 4 2 4 2 3" xfId="7342" xr:uid="{F8F24CF7-6CDD-4245-99FD-5D9CDD84F35C}"/>
    <cellStyle name="Normal 4 4 2 4 3" xfId="4269" xr:uid="{00000000-0005-0000-0000-000083110000}"/>
    <cellStyle name="Normal 4 4 2 4 3 2" xfId="7496" xr:uid="{C810A44D-EFE9-487E-A2FA-F15B911CC07A}"/>
    <cellStyle name="Normal 4 4 2 4 4" xfId="5093" xr:uid="{00000000-0005-0000-0000-000084110000}"/>
    <cellStyle name="Normal 4 4 2 4 4 2" xfId="8050" xr:uid="{D0A9EF73-DE6F-4283-A3F8-1D25E129EA45}"/>
    <cellStyle name="Normal 4 4 2 4 5" xfId="5366" xr:uid="{00000000-0005-0000-0000-000085110000}"/>
    <cellStyle name="Normal 4 4 2 4 5 2" xfId="8288" xr:uid="{C92D5381-1E4C-41D8-A853-262F7D8A73C2}"/>
    <cellStyle name="Normal 4 4 2 4 6" xfId="6532" xr:uid="{E10F3546-9F39-4702-9817-06E7592A89DA}"/>
    <cellStyle name="Normal 4 4 2 5" xfId="2929" xr:uid="{00000000-0005-0000-0000-000086110000}"/>
    <cellStyle name="Normal 4 4 2 5 2" xfId="4330" xr:uid="{00000000-0005-0000-0000-000087110000}"/>
    <cellStyle name="Normal 4 4 2 5 2 2" xfId="7557" xr:uid="{3FD141A9-5412-47DF-A00E-155CC246BDE3}"/>
    <cellStyle name="Normal 4 4 2 5 3" xfId="6966" xr:uid="{E657F398-A7A0-4CE6-B10F-313B56C2AFC0}"/>
    <cellStyle name="Normal 4 4 2 6" xfId="3978" xr:uid="{00000000-0005-0000-0000-000088110000}"/>
    <cellStyle name="Normal 4 4 2 6 2" xfId="7282" xr:uid="{EF174A82-DF4F-46A7-8789-88C752539298}"/>
    <cellStyle name="Normal 4 4 2 7" xfId="4209" xr:uid="{00000000-0005-0000-0000-000089110000}"/>
    <cellStyle name="Normal 4 4 2 7 2" xfId="7436" xr:uid="{AD747128-ECA8-480B-8541-531E9B23200A}"/>
    <cellStyle name="Normal 4 4 2 8" xfId="5023" xr:uid="{00000000-0005-0000-0000-00008A110000}"/>
    <cellStyle name="Normal 4 4 2 8 2" xfId="7990" xr:uid="{15834604-0C02-44AE-987A-72DBCD8268BB}"/>
    <cellStyle name="Normal 4 4 2 9" xfId="5263" xr:uid="{00000000-0005-0000-0000-00008B110000}"/>
    <cellStyle name="Normal 4 4 2 9 2" xfId="8185" xr:uid="{EE78CB52-BFB1-4D89-BC4F-99D7746D25BA}"/>
    <cellStyle name="Normal 4 4 3" xfId="447" xr:uid="{00000000-0005-0000-0000-00008C110000}"/>
    <cellStyle name="Normal 4 4 3 10" xfId="5894" xr:uid="{00000000-0005-0000-0000-00008D110000}"/>
    <cellStyle name="Normal 4 4 3 10 2" xfId="8720" xr:uid="{71D7E86A-9122-4C96-BE05-8679DC2FA990}"/>
    <cellStyle name="Normal 4 4 3 11" xfId="6115" xr:uid="{00000000-0005-0000-0000-00008E110000}"/>
    <cellStyle name="Normal 4 4 3 11 2" xfId="8905" xr:uid="{31B47EBC-4AAA-45CC-9D7D-B19526F3F45A}"/>
    <cellStyle name="Normal 4 4 3 12" xfId="6247" xr:uid="{D0F05B5D-9D70-49FE-B6B6-F33DB1C44529}"/>
    <cellStyle name="Normal 4 4 3 2" xfId="448" xr:uid="{00000000-0005-0000-0000-00008F110000}"/>
    <cellStyle name="Normal 4 4 3 2 2" xfId="3436" xr:uid="{00000000-0005-0000-0000-000090110000}"/>
    <cellStyle name="Normal 4 4 3 2 2 2" xfId="4395" xr:uid="{00000000-0005-0000-0000-000091110000}"/>
    <cellStyle name="Normal 4 4 3 2 2 2 2" xfId="7622" xr:uid="{AB6A75A5-52B9-428C-A3F0-E7A9B81267C1}"/>
    <cellStyle name="Normal 4 4 3 2 2 3" xfId="5189" xr:uid="{00000000-0005-0000-0000-000092110000}"/>
    <cellStyle name="Normal 4 4 3 2 2 3 2" xfId="8136" xr:uid="{DF43F026-1A28-4DC9-8094-99ED9D4AF397}"/>
    <cellStyle name="Normal 4 4 3 2 2 4" xfId="5371" xr:uid="{00000000-0005-0000-0000-000093110000}"/>
    <cellStyle name="Normal 4 4 3 2 2 4 2" xfId="8293" xr:uid="{E5FF5C2F-90F3-4BE4-947D-0EE1FEB785F0}"/>
    <cellStyle name="Normal 4 4 3 2 2 5" xfId="7050" xr:uid="{C9C3DD6B-B358-4663-8E1B-CDECCFB5A88B}"/>
    <cellStyle name="Normal 4 4 3 2 3" xfId="4043" xr:uid="{00000000-0005-0000-0000-000094110000}"/>
    <cellStyle name="Normal 4 4 3 2 3 2" xfId="7347" xr:uid="{5E19E36D-A39F-461B-9386-BE67C5FC3C7E}"/>
    <cellStyle name="Normal 4 4 3 2 4" xfId="4274" xr:uid="{00000000-0005-0000-0000-000095110000}"/>
    <cellStyle name="Normal 4 4 3 2 4 2" xfId="7501" xr:uid="{DE3279D1-77B5-4517-8B02-9A992466600A}"/>
    <cellStyle name="Normal 4 4 3 2 5" xfId="5098" xr:uid="{00000000-0005-0000-0000-000096110000}"/>
    <cellStyle name="Normal 4 4 3 2 5 2" xfId="8055" xr:uid="{B8A4AF46-C51D-4DFB-AEAD-6A542FB60853}"/>
    <cellStyle name="Normal 4 4 3 2 6" xfId="5306" xr:uid="{00000000-0005-0000-0000-000097110000}"/>
    <cellStyle name="Normal 4 4 3 2 6 2" xfId="8228" xr:uid="{5385AAC9-5866-4B01-B601-4FD47887578D}"/>
    <cellStyle name="Normal 4 4 3 2 7" xfId="738" xr:uid="{00000000-0005-0000-0000-000098110000}"/>
    <cellStyle name="Normal 4 4 3 2 7 2" xfId="6401" xr:uid="{5BF19B9A-CED3-4FB9-996B-F9BD25A9A265}"/>
    <cellStyle name="Normal 4 4 3 2 8" xfId="6248" xr:uid="{FD8CC195-4D13-43E4-A2C1-80A50B9AFCA2}"/>
    <cellStyle name="Normal 4 4 3 3" xfId="1739" xr:uid="{00000000-0005-0000-0000-000099110000}"/>
    <cellStyle name="Normal 4 4 3 3 2" xfId="4042" xr:uid="{00000000-0005-0000-0000-00009A110000}"/>
    <cellStyle name="Normal 4 4 3 3 2 2" xfId="4394" xr:uid="{00000000-0005-0000-0000-00009B110000}"/>
    <cellStyle name="Normal 4 4 3 3 2 2 2" xfId="7621" xr:uid="{A69D76AF-19D2-4870-ADDA-A1389BB426F8}"/>
    <cellStyle name="Normal 4 4 3 3 2 3" xfId="7346" xr:uid="{EDAECDF4-E5DC-48D8-971A-D0E7B7BED1B3}"/>
    <cellStyle name="Normal 4 4 3 3 3" xfId="4273" xr:uid="{00000000-0005-0000-0000-00009C110000}"/>
    <cellStyle name="Normal 4 4 3 3 3 2" xfId="7500" xr:uid="{34D3E275-DAB5-4DCA-B66C-2B95E31D60D9}"/>
    <cellStyle name="Normal 4 4 3 3 4" xfId="5097" xr:uid="{00000000-0005-0000-0000-00009D110000}"/>
    <cellStyle name="Normal 4 4 3 3 4 2" xfId="8054" xr:uid="{69855F3F-AC97-4094-A834-D65673B6364A}"/>
    <cellStyle name="Normal 4 4 3 3 5" xfId="5370" xr:uid="{00000000-0005-0000-0000-00009E110000}"/>
    <cellStyle name="Normal 4 4 3 3 5 2" xfId="8292" xr:uid="{2BE6EEFE-6D77-4072-B1A5-132669902A0F}"/>
    <cellStyle name="Normal 4 4 3 3 6" xfId="6534" xr:uid="{2D38CFDF-6316-49EE-9B43-EA0E2E72739B}"/>
    <cellStyle name="Normal 4 4 3 4" xfId="2931" xr:uid="{00000000-0005-0000-0000-00009F110000}"/>
    <cellStyle name="Normal 4 4 3 4 2" xfId="4332" xr:uid="{00000000-0005-0000-0000-0000A0110000}"/>
    <cellStyle name="Normal 4 4 3 4 2 2" xfId="7559" xr:uid="{6CACAB1C-524D-44E6-AF00-46B030E88675}"/>
    <cellStyle name="Normal 4 4 3 4 3" xfId="6968" xr:uid="{483645F6-2014-45EC-BC47-B47D048EF0E7}"/>
    <cellStyle name="Normal 4 4 3 5" xfId="3980" xr:uid="{00000000-0005-0000-0000-0000A1110000}"/>
    <cellStyle name="Normal 4 4 3 5 2" xfId="7284" xr:uid="{12B19398-08EA-4B9B-B237-A215E421E739}"/>
    <cellStyle name="Normal 4 4 3 6" xfId="4211" xr:uid="{00000000-0005-0000-0000-0000A2110000}"/>
    <cellStyle name="Normal 4 4 3 6 2" xfId="7438" xr:uid="{40F5C074-E7F9-44F6-A036-A53780E36C1A}"/>
    <cellStyle name="Normal 4 4 3 7" xfId="5025" xr:uid="{00000000-0005-0000-0000-0000A3110000}"/>
    <cellStyle name="Normal 4 4 3 7 2" xfId="7992" xr:uid="{56D5FED0-4A40-4C25-AE7D-BD0BA33387AB}"/>
    <cellStyle name="Normal 4 4 3 8" xfId="5275" xr:uid="{00000000-0005-0000-0000-0000A4110000}"/>
    <cellStyle name="Normal 4 4 3 8 2" xfId="8197" xr:uid="{731E090B-BAA8-4AFB-AD57-60DA05BD5A99}"/>
    <cellStyle name="Normal 4 4 3 9" xfId="704" xr:uid="{00000000-0005-0000-0000-0000A5110000}"/>
    <cellStyle name="Normal 4 4 3 9 2" xfId="6370" xr:uid="{76946600-ABC6-401C-ABF1-6A16E58F74DF}"/>
    <cellStyle name="Normal 4 4 4" xfId="449" xr:uid="{00000000-0005-0000-0000-0000A6110000}"/>
    <cellStyle name="Normal 4 4 4 2" xfId="3437" xr:uid="{00000000-0005-0000-0000-0000A7110000}"/>
    <cellStyle name="Normal 4 4 4 2 2" xfId="4396" xr:uid="{00000000-0005-0000-0000-0000A8110000}"/>
    <cellStyle name="Normal 4 4 4 2 2 2" xfId="7623" xr:uid="{F2DCB5DA-12B5-41C2-BAD6-5D443AAE8414}"/>
    <cellStyle name="Normal 4 4 4 2 3" xfId="5190" xr:uid="{00000000-0005-0000-0000-0000A9110000}"/>
    <cellStyle name="Normal 4 4 4 2 3 2" xfId="8137" xr:uid="{F728DD8D-15D2-4A01-B669-C1869174B4EC}"/>
    <cellStyle name="Normal 4 4 4 2 4" xfId="5372" xr:uid="{00000000-0005-0000-0000-0000AA110000}"/>
    <cellStyle name="Normal 4 4 4 2 4 2" xfId="8294" xr:uid="{978A200E-9FD5-4DF9-AE39-0473E9BBD85D}"/>
    <cellStyle name="Normal 4 4 4 2 5" xfId="7051" xr:uid="{C8B02C08-5398-4700-B96F-019EDDDC6899}"/>
    <cellStyle name="Normal 4 4 4 3" xfId="4044" xr:uid="{00000000-0005-0000-0000-0000AB110000}"/>
    <cellStyle name="Normal 4 4 4 3 2" xfId="7348" xr:uid="{6E30EBA2-526E-4A99-91CA-F3D2F742AEC2}"/>
    <cellStyle name="Normal 4 4 4 4" xfId="4275" xr:uid="{00000000-0005-0000-0000-0000AC110000}"/>
    <cellStyle name="Normal 4 4 4 4 2" xfId="7502" xr:uid="{5C43276D-0705-4328-A885-20521720F6E8}"/>
    <cellStyle name="Normal 4 4 4 5" xfId="5099" xr:uid="{00000000-0005-0000-0000-0000AD110000}"/>
    <cellStyle name="Normal 4 4 4 5 2" xfId="8056" xr:uid="{C603EC9D-F9A4-426D-BC34-DBAA1653999E}"/>
    <cellStyle name="Normal 4 4 4 6" xfId="5303" xr:uid="{00000000-0005-0000-0000-0000AE110000}"/>
    <cellStyle name="Normal 4 4 4 6 2" xfId="8225" xr:uid="{970F9BA2-0E5F-448F-9FDC-CB1875EB9E4C}"/>
    <cellStyle name="Normal 4 4 4 7" xfId="735" xr:uid="{00000000-0005-0000-0000-0000AF110000}"/>
    <cellStyle name="Normal 4 4 4 7 2" xfId="6398" xr:uid="{08A310A7-9920-4108-8650-FB0801F1B960}"/>
    <cellStyle name="Normal 4 4 4 8" xfId="6249" xr:uid="{9EC950B9-38BD-4B2E-B302-7CE6376AAF95}"/>
    <cellStyle name="Normal 4 4 5" xfId="1736" xr:uid="{00000000-0005-0000-0000-0000B0110000}"/>
    <cellStyle name="Normal 4 4 5 2" xfId="4037" xr:uid="{00000000-0005-0000-0000-0000B1110000}"/>
    <cellStyle name="Normal 4 4 5 2 2" xfId="4389" xr:uid="{00000000-0005-0000-0000-0000B2110000}"/>
    <cellStyle name="Normal 4 4 5 2 2 2" xfId="7616" xr:uid="{1761F6FF-A492-4F41-A056-CFD431E9811D}"/>
    <cellStyle name="Normal 4 4 5 2 3" xfId="7341" xr:uid="{EBCF5436-6C0C-4F10-9965-AED2EF415509}"/>
    <cellStyle name="Normal 4 4 5 3" xfId="4268" xr:uid="{00000000-0005-0000-0000-0000B3110000}"/>
    <cellStyle name="Normal 4 4 5 3 2" xfId="7495" xr:uid="{CAA757A1-1A69-42D6-BAE0-3734C0AE954F}"/>
    <cellStyle name="Normal 4 4 5 4" xfId="5092" xr:uid="{00000000-0005-0000-0000-0000B4110000}"/>
    <cellStyle name="Normal 4 4 5 4 2" xfId="8049" xr:uid="{2BC5E73E-D4A3-43FF-8038-6EEA993CF3BF}"/>
    <cellStyle name="Normal 4 4 5 5" xfId="5365" xr:uid="{00000000-0005-0000-0000-0000B5110000}"/>
    <cellStyle name="Normal 4 4 5 5 2" xfId="8287" xr:uid="{27E12E20-7FD7-4525-8C5F-B431BE705157}"/>
    <cellStyle name="Normal 4 4 5 6" xfId="6531" xr:uid="{CCA1494F-E1E2-4183-AA73-17F2710097D8}"/>
    <cellStyle name="Normal 4 4 6" xfId="2928" xr:uid="{00000000-0005-0000-0000-0000B6110000}"/>
    <cellStyle name="Normal 4 4 6 2" xfId="4329" xr:uid="{00000000-0005-0000-0000-0000B7110000}"/>
    <cellStyle name="Normal 4 4 6 2 2" xfId="7556" xr:uid="{2DD4C62F-0D6A-428F-8359-86ED921E805C}"/>
    <cellStyle name="Normal 4 4 6 3" xfId="6965" xr:uid="{03F8C202-492B-4A1B-82DB-BDC4BE13527C}"/>
    <cellStyle name="Normal 4 4 7" xfId="3977" xr:uid="{00000000-0005-0000-0000-0000B8110000}"/>
    <cellStyle name="Normal 4 4 7 2" xfId="7281" xr:uid="{9ADC06B1-97A1-4043-B674-E821B410E4E5}"/>
    <cellStyle name="Normal 4 4 8" xfId="4208" xr:uid="{00000000-0005-0000-0000-0000B9110000}"/>
    <cellStyle name="Normal 4 4 8 2" xfId="7435" xr:uid="{8283A907-7722-4151-90C3-2AD84CB37AC9}"/>
    <cellStyle name="Normal 4 4 9" xfId="5022" xr:uid="{00000000-0005-0000-0000-0000BA110000}"/>
    <cellStyle name="Normal 4 4 9 2" xfId="7989" xr:uid="{2F79B8F7-AAD3-450F-AC86-E93E4B25CF66}"/>
    <cellStyle name="Normal 4 5" xfId="450" xr:uid="{00000000-0005-0000-0000-0000BB110000}"/>
    <cellStyle name="Normal 4 5 10" xfId="682" xr:uid="{00000000-0005-0000-0000-0000BC110000}"/>
    <cellStyle name="Normal 4 5 10 2" xfId="6351" xr:uid="{7F782E56-0CA1-4F58-A42C-9D682DAE3863}"/>
    <cellStyle name="Normal 4 5 11" xfId="5895" xr:uid="{00000000-0005-0000-0000-0000BD110000}"/>
    <cellStyle name="Normal 4 5 11 2" xfId="8721" xr:uid="{84DB2DB7-AB56-4351-8ED6-74824B262E0D}"/>
    <cellStyle name="Normal 4 5 12" xfId="6116" xr:uid="{00000000-0005-0000-0000-0000BE110000}"/>
    <cellStyle name="Normal 4 5 12 2" xfId="8906" xr:uid="{3D85C3F4-78C9-4B73-BD1D-8CA4EBFC1CC4}"/>
    <cellStyle name="Normal 4 5 13" xfId="6250" xr:uid="{8105875A-8CBE-4AD3-B3AE-3FF50EBC03B4}"/>
    <cellStyle name="Normal 4 5 2" xfId="451" xr:uid="{00000000-0005-0000-0000-0000BF110000}"/>
    <cellStyle name="Normal 4 5 2 10" xfId="5896" xr:uid="{00000000-0005-0000-0000-0000C0110000}"/>
    <cellStyle name="Normal 4 5 2 10 2" xfId="8722" xr:uid="{A09346B5-8AA5-4C6F-90BE-ABFEED7E9DAA}"/>
    <cellStyle name="Normal 4 5 2 11" xfId="6117" xr:uid="{00000000-0005-0000-0000-0000C1110000}"/>
    <cellStyle name="Normal 4 5 2 11 2" xfId="8907" xr:uid="{3F252855-DC50-4BA3-83F8-C258DADA1A5A}"/>
    <cellStyle name="Normal 4 5 2 12" xfId="6251" xr:uid="{99361B06-35C3-4635-BBFC-C9939FB8C69B}"/>
    <cellStyle name="Normal 4 5 2 2" xfId="452" xr:uid="{00000000-0005-0000-0000-0000C2110000}"/>
    <cellStyle name="Normal 4 5 2 2 2" xfId="3440" xr:uid="{00000000-0005-0000-0000-0000C3110000}"/>
    <cellStyle name="Normal 4 5 2 2 2 2" xfId="4399" xr:uid="{00000000-0005-0000-0000-0000C4110000}"/>
    <cellStyle name="Normal 4 5 2 2 2 2 2" xfId="7626" xr:uid="{E9E46C0D-0710-4BD0-91DE-6A1D748513C9}"/>
    <cellStyle name="Normal 4 5 2 2 2 3" xfId="5191" xr:uid="{00000000-0005-0000-0000-0000C5110000}"/>
    <cellStyle name="Normal 4 5 2 2 2 3 2" xfId="8138" xr:uid="{3C89D718-6261-444D-8DE7-D2EA0CEC7F3B}"/>
    <cellStyle name="Normal 4 5 2 2 2 4" xfId="5375" xr:uid="{00000000-0005-0000-0000-0000C6110000}"/>
    <cellStyle name="Normal 4 5 2 2 2 4 2" xfId="8297" xr:uid="{4369F780-F95C-4C57-835A-8411ABB04606}"/>
    <cellStyle name="Normal 4 5 2 2 2 5" xfId="7054" xr:uid="{8AAE1FCF-63E8-4094-ACEC-EFE528DFCDF2}"/>
    <cellStyle name="Normal 4 5 2 2 3" xfId="4047" xr:uid="{00000000-0005-0000-0000-0000C7110000}"/>
    <cellStyle name="Normal 4 5 2 2 3 2" xfId="7351" xr:uid="{CFDBF1C0-1432-4291-914D-7182FE6862FE}"/>
    <cellStyle name="Normal 4 5 2 2 4" xfId="4278" xr:uid="{00000000-0005-0000-0000-0000C8110000}"/>
    <cellStyle name="Normal 4 5 2 2 4 2" xfId="7505" xr:uid="{7CCB15A1-C7F4-4B4E-9C71-391829B66641}"/>
    <cellStyle name="Normal 4 5 2 2 5" xfId="5102" xr:uid="{00000000-0005-0000-0000-0000C9110000}"/>
    <cellStyle name="Normal 4 5 2 2 5 2" xfId="8059" xr:uid="{0C1EB986-FE6C-4777-9FAC-C368AB844B83}"/>
    <cellStyle name="Normal 4 5 2 2 6" xfId="5308" xr:uid="{00000000-0005-0000-0000-0000CA110000}"/>
    <cellStyle name="Normal 4 5 2 2 6 2" xfId="8230" xr:uid="{4900EEB1-175E-4FBF-BEEF-BCA4EBCA36FE}"/>
    <cellStyle name="Normal 4 5 2 2 7" xfId="740" xr:uid="{00000000-0005-0000-0000-0000CB110000}"/>
    <cellStyle name="Normal 4 5 2 2 7 2" xfId="6403" xr:uid="{BAD51F0A-2FDA-459D-A030-92E0472FF1BE}"/>
    <cellStyle name="Normal 4 5 2 2 8" xfId="6252" xr:uid="{AD767980-B490-44B1-9AC7-7E65B4B793F4}"/>
    <cellStyle name="Normal 4 5 2 3" xfId="1741" xr:uid="{00000000-0005-0000-0000-0000CC110000}"/>
    <cellStyle name="Normal 4 5 2 3 2" xfId="4046" xr:uid="{00000000-0005-0000-0000-0000CD110000}"/>
    <cellStyle name="Normal 4 5 2 3 2 2" xfId="4398" xr:uid="{00000000-0005-0000-0000-0000CE110000}"/>
    <cellStyle name="Normal 4 5 2 3 2 2 2" xfId="7625" xr:uid="{CA0742D5-BEDE-41F8-BC4F-5F69619054F9}"/>
    <cellStyle name="Normal 4 5 2 3 2 3" xfId="7350" xr:uid="{5ED9ED49-5370-4A64-8097-E112EC51FC42}"/>
    <cellStyle name="Normal 4 5 2 3 3" xfId="4277" xr:uid="{00000000-0005-0000-0000-0000CF110000}"/>
    <cellStyle name="Normal 4 5 2 3 3 2" xfId="7504" xr:uid="{624D045A-8697-41FF-9709-6F36827CAC13}"/>
    <cellStyle name="Normal 4 5 2 3 4" xfId="5101" xr:uid="{00000000-0005-0000-0000-0000D0110000}"/>
    <cellStyle name="Normal 4 5 2 3 4 2" xfId="8058" xr:uid="{26C571B9-1B54-42EA-AC1B-74F7AB50B082}"/>
    <cellStyle name="Normal 4 5 2 3 5" xfId="5374" xr:uid="{00000000-0005-0000-0000-0000D1110000}"/>
    <cellStyle name="Normal 4 5 2 3 5 2" xfId="8296" xr:uid="{7D7D80A0-FB7B-459D-995C-377A0D180138}"/>
    <cellStyle name="Normal 4 5 2 3 6" xfId="6536" xr:uid="{8A7041B2-1000-40FC-A649-5650F30E3CC4}"/>
    <cellStyle name="Normal 4 5 2 4" xfId="2933" xr:uid="{00000000-0005-0000-0000-0000D2110000}"/>
    <cellStyle name="Normal 4 5 2 4 2" xfId="4334" xr:uid="{00000000-0005-0000-0000-0000D3110000}"/>
    <cellStyle name="Normal 4 5 2 4 2 2" xfId="7561" xr:uid="{5E58D00A-9951-4625-846E-9E35C9911601}"/>
    <cellStyle name="Normal 4 5 2 4 3" xfId="6970" xr:uid="{B9205550-5EEF-47C2-ADD7-0F3ED11CB0D4}"/>
    <cellStyle name="Normal 4 5 2 5" xfId="3982" xr:uid="{00000000-0005-0000-0000-0000D4110000}"/>
    <cellStyle name="Normal 4 5 2 5 2" xfId="7286" xr:uid="{B906B929-172E-4E5B-AF33-5E0469C5599F}"/>
    <cellStyle name="Normal 4 5 2 6" xfId="4213" xr:uid="{00000000-0005-0000-0000-0000D5110000}"/>
    <cellStyle name="Normal 4 5 2 6 2" xfId="7440" xr:uid="{65B5674C-F8FD-46BF-9632-D696F73CA88C}"/>
    <cellStyle name="Normal 4 5 2 7" xfId="5027" xr:uid="{00000000-0005-0000-0000-0000D6110000}"/>
    <cellStyle name="Normal 4 5 2 7 2" xfId="7994" xr:uid="{5CDD54D2-EF0E-4863-9525-96F0AC8BF721}"/>
    <cellStyle name="Normal 4 5 2 8" xfId="5277" xr:uid="{00000000-0005-0000-0000-0000D7110000}"/>
    <cellStyle name="Normal 4 5 2 8 2" xfId="8199" xr:uid="{43554486-D04A-43D5-B49D-E33A6E33EB75}"/>
    <cellStyle name="Normal 4 5 2 9" xfId="706" xr:uid="{00000000-0005-0000-0000-0000D8110000}"/>
    <cellStyle name="Normal 4 5 2 9 2" xfId="6372" xr:uid="{CFFCF51C-084E-4347-88B3-4ADFAFAE3E60}"/>
    <cellStyle name="Normal 4 5 3" xfId="453" xr:uid="{00000000-0005-0000-0000-0000D9110000}"/>
    <cellStyle name="Normal 4 5 3 2" xfId="3441" xr:uid="{00000000-0005-0000-0000-0000DA110000}"/>
    <cellStyle name="Normal 4 5 3 2 2" xfId="4400" xr:uid="{00000000-0005-0000-0000-0000DB110000}"/>
    <cellStyle name="Normal 4 5 3 2 2 2" xfId="7627" xr:uid="{E2C269D3-9D83-42E4-B1D8-8045BA0F548D}"/>
    <cellStyle name="Normal 4 5 3 2 3" xfId="5192" xr:uid="{00000000-0005-0000-0000-0000DC110000}"/>
    <cellStyle name="Normal 4 5 3 2 3 2" xfId="8139" xr:uid="{3E3D7D2F-2D7C-4D80-B9E3-803D82131B83}"/>
    <cellStyle name="Normal 4 5 3 2 4" xfId="5376" xr:uid="{00000000-0005-0000-0000-0000DD110000}"/>
    <cellStyle name="Normal 4 5 3 2 4 2" xfId="8298" xr:uid="{74AC0C1A-C8B6-4184-A851-35F6797DF2A3}"/>
    <cellStyle name="Normal 4 5 3 2 5" xfId="7055" xr:uid="{0CC21BE6-0AEF-433F-ACC5-7E10D00B18DA}"/>
    <cellStyle name="Normal 4 5 3 3" xfId="4048" xr:uid="{00000000-0005-0000-0000-0000DE110000}"/>
    <cellStyle name="Normal 4 5 3 3 2" xfId="7352" xr:uid="{B2D71889-62A6-481E-90EB-AFE340E700DE}"/>
    <cellStyle name="Normal 4 5 3 4" xfId="4279" xr:uid="{00000000-0005-0000-0000-0000DF110000}"/>
    <cellStyle name="Normal 4 5 3 4 2" xfId="7506" xr:uid="{B9BBFF39-EDE3-4A4B-BC9F-A959B9E500D7}"/>
    <cellStyle name="Normal 4 5 3 5" xfId="5103" xr:uid="{00000000-0005-0000-0000-0000E0110000}"/>
    <cellStyle name="Normal 4 5 3 5 2" xfId="8060" xr:uid="{7CE82E5F-7150-45D3-859A-81B25C343A1E}"/>
    <cellStyle name="Normal 4 5 3 6" xfId="5307" xr:uid="{00000000-0005-0000-0000-0000E1110000}"/>
    <cellStyle name="Normal 4 5 3 6 2" xfId="8229" xr:uid="{94852304-7279-4095-8BA3-95878C03DF19}"/>
    <cellStyle name="Normal 4 5 3 7" xfId="739" xr:uid="{00000000-0005-0000-0000-0000E2110000}"/>
    <cellStyle name="Normal 4 5 3 7 2" xfId="6402" xr:uid="{ABDB6229-3043-4CB9-AD2E-99DAD65980E0}"/>
    <cellStyle name="Normal 4 5 3 8" xfId="6253" xr:uid="{2BE8E879-7690-483B-9CDC-43E3E09C0D40}"/>
    <cellStyle name="Normal 4 5 4" xfId="1740" xr:uid="{00000000-0005-0000-0000-0000E3110000}"/>
    <cellStyle name="Normal 4 5 4 2" xfId="4045" xr:uid="{00000000-0005-0000-0000-0000E4110000}"/>
    <cellStyle name="Normal 4 5 4 2 2" xfId="4397" xr:uid="{00000000-0005-0000-0000-0000E5110000}"/>
    <cellStyle name="Normal 4 5 4 2 2 2" xfId="7624" xr:uid="{617F73D7-2970-4A6B-B9EC-DC2CF76CA3D3}"/>
    <cellStyle name="Normal 4 5 4 2 3" xfId="7349" xr:uid="{927D5B30-2918-4692-B45B-EE2F3B2369B0}"/>
    <cellStyle name="Normal 4 5 4 3" xfId="4276" xr:uid="{00000000-0005-0000-0000-0000E6110000}"/>
    <cellStyle name="Normal 4 5 4 3 2" xfId="7503" xr:uid="{C2CCC90E-BC11-4285-ABE0-A4391E8C9191}"/>
    <cellStyle name="Normal 4 5 4 4" xfId="5100" xr:uid="{00000000-0005-0000-0000-0000E7110000}"/>
    <cellStyle name="Normal 4 5 4 4 2" xfId="8057" xr:uid="{8A23146E-6891-45B6-99B1-23EDBCAD0D0E}"/>
    <cellStyle name="Normal 4 5 4 5" xfId="5373" xr:uid="{00000000-0005-0000-0000-0000E8110000}"/>
    <cellStyle name="Normal 4 5 4 5 2" xfId="8295" xr:uid="{3C09F0C5-356C-4F4A-8044-ED5244F929EA}"/>
    <cellStyle name="Normal 4 5 4 6" xfId="6535" xr:uid="{48992BE2-1905-4E1E-BC27-859D7AFC072A}"/>
    <cellStyle name="Normal 4 5 5" xfId="2932" xr:uid="{00000000-0005-0000-0000-0000E9110000}"/>
    <cellStyle name="Normal 4 5 5 2" xfId="4333" xr:uid="{00000000-0005-0000-0000-0000EA110000}"/>
    <cellStyle name="Normal 4 5 5 2 2" xfId="7560" xr:uid="{FB433852-5687-4E27-84E7-C4EA4B6306B6}"/>
    <cellStyle name="Normal 4 5 5 3" xfId="6969" xr:uid="{95169493-1C0F-4597-946D-71B2BB03233F}"/>
    <cellStyle name="Normal 4 5 6" xfId="3981" xr:uid="{00000000-0005-0000-0000-0000EB110000}"/>
    <cellStyle name="Normal 4 5 6 2" xfId="7285" xr:uid="{F45BFA65-CB20-49B7-ABB8-BD5FF1AD9B83}"/>
    <cellStyle name="Normal 4 5 7" xfId="4212" xr:uid="{00000000-0005-0000-0000-0000EC110000}"/>
    <cellStyle name="Normal 4 5 7 2" xfId="7439" xr:uid="{98F7EA28-7C6E-4758-99EC-300EBB74CC24}"/>
    <cellStyle name="Normal 4 5 8" xfId="5026" xr:uid="{00000000-0005-0000-0000-0000ED110000}"/>
    <cellStyle name="Normal 4 5 8 2" xfId="7993" xr:uid="{F24D466E-C075-4E18-B36A-4B7B6569DCD4}"/>
    <cellStyle name="Normal 4 5 9" xfId="5256" xr:uid="{00000000-0005-0000-0000-0000EE110000}"/>
    <cellStyle name="Normal 4 5 9 2" xfId="8178" xr:uid="{03C8A128-E28A-4455-A755-32772E20B994}"/>
    <cellStyle name="Normal 4 6" xfId="454" xr:uid="{00000000-0005-0000-0000-0000EF110000}"/>
    <cellStyle name="Normal 4 6 10" xfId="5897" xr:uid="{00000000-0005-0000-0000-0000F0110000}"/>
    <cellStyle name="Normal 4 6 10 2" xfId="8723" xr:uid="{B2295769-CADF-4A98-99D3-6E03522BE3C7}"/>
    <cellStyle name="Normal 4 6 11" xfId="6118" xr:uid="{00000000-0005-0000-0000-0000F1110000}"/>
    <cellStyle name="Normal 4 6 11 2" xfId="8908" xr:uid="{BD42EED4-19DA-4DE8-ABAB-F49277DAD745}"/>
    <cellStyle name="Normal 4 6 12" xfId="6254" xr:uid="{6043526A-7098-4E46-9C5D-B98A810B5F72}"/>
    <cellStyle name="Normal 4 6 2" xfId="455" xr:uid="{00000000-0005-0000-0000-0000F2110000}"/>
    <cellStyle name="Normal 4 6 2 2" xfId="3443" xr:uid="{00000000-0005-0000-0000-0000F3110000}"/>
    <cellStyle name="Normal 4 6 2 2 2" xfId="4402" xr:uid="{00000000-0005-0000-0000-0000F4110000}"/>
    <cellStyle name="Normal 4 6 2 2 2 2" xfId="7629" xr:uid="{1C552EE9-67E5-48BE-9D3A-8C22BF1CD408}"/>
    <cellStyle name="Normal 4 6 2 2 3" xfId="5193" xr:uid="{00000000-0005-0000-0000-0000F5110000}"/>
    <cellStyle name="Normal 4 6 2 2 3 2" xfId="8140" xr:uid="{AA9CF69B-0A45-4DF6-8EF5-04106FFAECBE}"/>
    <cellStyle name="Normal 4 6 2 2 4" xfId="5378" xr:uid="{00000000-0005-0000-0000-0000F6110000}"/>
    <cellStyle name="Normal 4 6 2 2 4 2" xfId="8300" xr:uid="{186D937D-92DA-4764-995A-520A390D8F0C}"/>
    <cellStyle name="Normal 4 6 2 2 5" xfId="7056" xr:uid="{2FEBBB5F-4517-4B83-8DE8-3C2677068CBC}"/>
    <cellStyle name="Normal 4 6 2 3" xfId="4050" xr:uid="{00000000-0005-0000-0000-0000F7110000}"/>
    <cellStyle name="Normal 4 6 2 3 2" xfId="7354" xr:uid="{B7F6B63E-6031-4660-9394-47AC310D29AB}"/>
    <cellStyle name="Normal 4 6 2 4" xfId="4281" xr:uid="{00000000-0005-0000-0000-0000F8110000}"/>
    <cellStyle name="Normal 4 6 2 4 2" xfId="7508" xr:uid="{93B454CE-85C4-4720-A652-4DE7909574D0}"/>
    <cellStyle name="Normal 4 6 2 5" xfId="5105" xr:uid="{00000000-0005-0000-0000-0000F9110000}"/>
    <cellStyle name="Normal 4 6 2 5 2" xfId="8062" xr:uid="{1374EF53-8A5C-4C0B-B6C2-EDB57448A38A}"/>
    <cellStyle name="Normal 4 6 2 6" xfId="5309" xr:uid="{00000000-0005-0000-0000-0000FA110000}"/>
    <cellStyle name="Normal 4 6 2 6 2" xfId="8231" xr:uid="{F01E69A5-C935-43F2-87D7-5FCDC8048EE6}"/>
    <cellStyle name="Normal 4 6 2 7" xfId="741" xr:uid="{00000000-0005-0000-0000-0000FB110000}"/>
    <cellStyle name="Normal 4 6 2 7 2" xfId="6404" xr:uid="{8CC922CE-241D-46E0-AE58-F1B7CE941A3C}"/>
    <cellStyle name="Normal 4 6 2 8" xfId="6255" xr:uid="{6472E711-1A9F-416C-91DB-72DFF0C126C7}"/>
    <cellStyle name="Normal 4 6 3" xfId="1742" xr:uid="{00000000-0005-0000-0000-0000FC110000}"/>
    <cellStyle name="Normal 4 6 3 2" xfId="4049" xr:uid="{00000000-0005-0000-0000-0000FD110000}"/>
    <cellStyle name="Normal 4 6 3 2 2" xfId="4401" xr:uid="{00000000-0005-0000-0000-0000FE110000}"/>
    <cellStyle name="Normal 4 6 3 2 2 2" xfId="7628" xr:uid="{88BE6ACB-2448-4C4D-962F-CEC6290DC5BC}"/>
    <cellStyle name="Normal 4 6 3 2 3" xfId="7353" xr:uid="{73AE771D-BD29-46D2-B66F-6668AC0199E8}"/>
    <cellStyle name="Normal 4 6 3 3" xfId="4280" xr:uid="{00000000-0005-0000-0000-0000FF110000}"/>
    <cellStyle name="Normal 4 6 3 3 2" xfId="7507" xr:uid="{71DC235E-814F-40A2-8547-AB538158186E}"/>
    <cellStyle name="Normal 4 6 3 4" xfId="5104" xr:uid="{00000000-0005-0000-0000-000000120000}"/>
    <cellStyle name="Normal 4 6 3 4 2" xfId="8061" xr:uid="{E6AD77C3-E20A-4FA6-9388-F14C899FC33B}"/>
    <cellStyle name="Normal 4 6 3 5" xfId="5377" xr:uid="{00000000-0005-0000-0000-000001120000}"/>
    <cellStyle name="Normal 4 6 3 5 2" xfId="8299" xr:uid="{D8AB8888-A134-4FA9-85BB-2E99A77CF49E}"/>
    <cellStyle name="Normal 4 6 3 6" xfId="6537" xr:uid="{7287F3C8-8757-476E-B7FB-990769D933D5}"/>
    <cellStyle name="Normal 4 6 4" xfId="2934" xr:uid="{00000000-0005-0000-0000-000002120000}"/>
    <cellStyle name="Normal 4 6 4 2" xfId="4335" xr:uid="{00000000-0005-0000-0000-000003120000}"/>
    <cellStyle name="Normal 4 6 4 2 2" xfId="7562" xr:uid="{690F4C63-D920-416D-9012-76E2EB025037}"/>
    <cellStyle name="Normal 4 6 4 3" xfId="6971" xr:uid="{C48784C5-2409-4A62-ACCE-D7007C345EDA}"/>
    <cellStyle name="Normal 4 6 5" xfId="3983" xr:uid="{00000000-0005-0000-0000-000004120000}"/>
    <cellStyle name="Normal 4 6 5 2" xfId="7287" xr:uid="{D3A095AC-0BA2-49AB-A673-3B1413C634B2}"/>
    <cellStyle name="Normal 4 6 6" xfId="4214" xr:uid="{00000000-0005-0000-0000-000005120000}"/>
    <cellStyle name="Normal 4 6 6 2" xfId="7441" xr:uid="{A5765AB5-93FF-446F-88FC-19B94171EDA1}"/>
    <cellStyle name="Normal 4 6 7" xfId="5028" xr:uid="{00000000-0005-0000-0000-000006120000}"/>
    <cellStyle name="Normal 4 6 7 2" xfId="7995" xr:uid="{06B3480F-9F6E-4C6A-9496-68B77110BDCA}"/>
    <cellStyle name="Normal 4 6 8" xfId="5272" xr:uid="{00000000-0005-0000-0000-000007120000}"/>
    <cellStyle name="Normal 4 6 8 2" xfId="8194" xr:uid="{329AE3C5-D6CA-4C9D-B13D-D0E314CEEDCB}"/>
    <cellStyle name="Normal 4 6 9" xfId="701" xr:uid="{00000000-0005-0000-0000-000008120000}"/>
    <cellStyle name="Normal 4 6 9 2" xfId="6367" xr:uid="{143F889A-0BF4-48C7-A3F9-EA1F31CD0CCA}"/>
    <cellStyle name="Normal 4 7" xfId="456" xr:uid="{00000000-0005-0000-0000-000009120000}"/>
    <cellStyle name="Normal 4 7 10" xfId="6119" xr:uid="{00000000-0005-0000-0000-00000A120000}"/>
    <cellStyle name="Normal 4 7 10 2" xfId="8909" xr:uid="{854F23A9-0F52-40BE-9264-6843025EA17B}"/>
    <cellStyle name="Normal 4 7 11" xfId="6256" xr:uid="{B163F8E2-9CB8-4D31-955A-783326E75E93}"/>
    <cellStyle name="Normal 4 7 2" xfId="1743" xr:uid="{00000000-0005-0000-0000-00000B120000}"/>
    <cellStyle name="Normal 4 7 2 2" xfId="4403" xr:uid="{00000000-0005-0000-0000-00000C120000}"/>
    <cellStyle name="Normal 4 7 2 2 2" xfId="7630" xr:uid="{4A4E71A4-F158-4F84-816D-83E6CD7EACB0}"/>
    <cellStyle name="Normal 4 7 2 3" xfId="5194" xr:uid="{00000000-0005-0000-0000-00000D120000}"/>
    <cellStyle name="Normal 4 7 2 3 2" xfId="8141" xr:uid="{75E71E8D-A879-4ACE-8D7C-F276532A7BD2}"/>
    <cellStyle name="Normal 4 7 2 4" xfId="5379" xr:uid="{00000000-0005-0000-0000-00000E120000}"/>
    <cellStyle name="Normal 4 7 2 4 2" xfId="8301" xr:uid="{E5E9DF24-10EC-4621-8889-674ADEB88DEF}"/>
    <cellStyle name="Normal 4 7 2 5" xfId="6538" xr:uid="{070FC6AD-7DF3-4E67-8066-28AEA7ACD4A6}"/>
    <cellStyle name="Normal 4 7 3" xfId="4051" xr:uid="{00000000-0005-0000-0000-00000F120000}"/>
    <cellStyle name="Normal 4 7 3 2" xfId="7355" xr:uid="{915DA669-99F1-40F7-9EE9-2AC7CF8F23C8}"/>
    <cellStyle name="Normal 4 7 4" xfId="4282" xr:uid="{00000000-0005-0000-0000-000010120000}"/>
    <cellStyle name="Normal 4 7 4 2" xfId="7509" xr:uid="{BE95C3B2-3EBB-4ECF-88E2-7649B6CB5619}"/>
    <cellStyle name="Normal 4 7 5" xfId="5106" xr:uid="{00000000-0005-0000-0000-000011120000}"/>
    <cellStyle name="Normal 4 7 5 2" xfId="8063" xr:uid="{EB64611A-41B6-427B-B0A7-EB9BF75CC01F}"/>
    <cellStyle name="Normal 4 7 6" xfId="5298" xr:uid="{00000000-0005-0000-0000-000012120000}"/>
    <cellStyle name="Normal 4 7 6 2" xfId="8220" xr:uid="{4A25EA4D-FEB8-4B48-9C68-29C747DF0C9C}"/>
    <cellStyle name="Normal 4 7 7" xfId="5238" xr:uid="{00000000-0005-0000-0000-000013120000}"/>
    <cellStyle name="Normal 4 7 8" xfId="730" xr:uid="{00000000-0005-0000-0000-000014120000}"/>
    <cellStyle name="Normal 4 7 8 2" xfId="6393" xr:uid="{9136BFA2-596F-4E06-B87F-B8942411F98B}"/>
    <cellStyle name="Normal 4 7 9" xfId="5898" xr:uid="{00000000-0005-0000-0000-000015120000}"/>
    <cellStyle name="Normal 4 7 9 2" xfId="8724" xr:uid="{40166005-8B0A-4EEA-B03B-E2856CB3838D}"/>
    <cellStyle name="Normal 4 8" xfId="1731" xr:uid="{00000000-0005-0000-0000-000016120000}"/>
    <cellStyle name="Normal 4 8 2" xfId="4028" xr:uid="{00000000-0005-0000-0000-000017120000}"/>
    <cellStyle name="Normal 4 8 2 2" xfId="4380" xr:uid="{00000000-0005-0000-0000-000018120000}"/>
    <cellStyle name="Normal 4 8 2 2 2" xfId="7607" xr:uid="{F61FCC2E-DF93-449A-A442-B19FF1828428}"/>
    <cellStyle name="Normal 4 8 2 3" xfId="7332" xr:uid="{2B72819B-0A5C-40F5-BB23-5DAA479F28C4}"/>
    <cellStyle name="Normal 4 8 3" xfId="4259" xr:uid="{00000000-0005-0000-0000-000019120000}"/>
    <cellStyle name="Normal 4 8 3 2" xfId="7486" xr:uid="{2CEAB11B-900E-4DBD-A693-F0ABDC19F6CD}"/>
    <cellStyle name="Normal 4 8 4" xfId="5083" xr:uid="{00000000-0005-0000-0000-00001A120000}"/>
    <cellStyle name="Normal 4 8 4 2" xfId="8040" xr:uid="{3FF7F4D0-BBAF-46D2-A851-892710988D2F}"/>
    <cellStyle name="Normal 4 8 5" xfId="5356" xr:uid="{00000000-0005-0000-0000-00001B120000}"/>
    <cellStyle name="Normal 4 8 5 2" xfId="8278" xr:uid="{DCAE1E01-F4D1-4583-B6E4-EE8BA614D365}"/>
    <cellStyle name="Normal 4 8 6" xfId="6526" xr:uid="{053E1B61-D833-49B2-AF2E-BBE14831A256}"/>
    <cellStyle name="Normal 4 9" xfId="3156" xr:uid="{00000000-0005-0000-0000-00001C120000}"/>
    <cellStyle name="Normal 40" xfId="4143" xr:uid="{00000000-0005-0000-0000-00001D120000}"/>
    <cellStyle name="Normal 41" xfId="4086" xr:uid="{00000000-0005-0000-0000-00001E120000}"/>
    <cellStyle name="Normal 42" xfId="4156" xr:uid="{00000000-0005-0000-0000-00001F120000}"/>
    <cellStyle name="Normal 43" xfId="4083" xr:uid="{00000000-0005-0000-0000-000020120000}"/>
    <cellStyle name="Normal 43 2" xfId="5899" xr:uid="{00000000-0005-0000-0000-000021120000}"/>
    <cellStyle name="Normal 43 2 2" xfId="8725" xr:uid="{4CDD1B34-2E2F-403F-A98C-F5FCC0F51025}"/>
    <cellStyle name="Normal 43 3" xfId="6120" xr:uid="{00000000-0005-0000-0000-000022120000}"/>
    <cellStyle name="Normal 43 3 2" xfId="8910" xr:uid="{09C53C1D-13A5-4279-A19D-A744C7FB2279}"/>
    <cellStyle name="Normal 43 4" xfId="7382" xr:uid="{090A1128-1903-4883-9630-83758154ECE1}"/>
    <cellStyle name="Normal 44" xfId="4993" xr:uid="{00000000-0005-0000-0000-000023120000}"/>
    <cellStyle name="Normal 45" xfId="5129" xr:uid="{00000000-0005-0000-0000-000024120000}"/>
    <cellStyle name="Normal 46" xfId="5134" xr:uid="{00000000-0005-0000-0000-000025120000}"/>
    <cellStyle name="Normal 47" xfId="5632" xr:uid="{00000000-0005-0000-0000-000026120000}"/>
    <cellStyle name="Normal 48" xfId="587" xr:uid="{00000000-0005-0000-0000-000027120000}"/>
    <cellStyle name="Normal 48 2" xfId="6303" xr:uid="{B14A16B3-1532-4CEE-8D31-B6E65EAA06F2}"/>
    <cellStyle name="Normal 49" xfId="5634" xr:uid="{00000000-0005-0000-0000-000028120000}"/>
    <cellStyle name="Normal 49 2" xfId="8513" xr:uid="{3FD19F03-D04E-4078-A4D0-4950C389BB8C}"/>
    <cellStyle name="Normal 5" xfId="457" xr:uid="{00000000-0005-0000-0000-000029120000}"/>
    <cellStyle name="Normal 5 14" xfId="5901" xr:uid="{00000000-0005-0000-0000-00002A120000}"/>
    <cellStyle name="Normal 5 14 2" xfId="6168" xr:uid="{00000000-0005-0000-0000-00002B120000}"/>
    <cellStyle name="Normal 5 14 2 2" xfId="8957" xr:uid="{C60DD4F3-D34B-4BF2-87E0-B867A9200184}"/>
    <cellStyle name="Normal 5 14 3" xfId="8727" xr:uid="{D3E5EAE0-37BF-4F0A-A88C-5FF4AB1C2D41}"/>
    <cellStyle name="Normal 5 2" xfId="1744" xr:uid="{00000000-0005-0000-0000-00002C120000}"/>
    <cellStyle name="Normal 5 2 2" xfId="3623" xr:uid="{00000000-0005-0000-0000-00002D120000}"/>
    <cellStyle name="Normal 5 2 2 2" xfId="5902" xr:uid="{00000000-0005-0000-0000-00002E120000}"/>
    <cellStyle name="Normal 5 2 2 2 2" xfId="8728" xr:uid="{D18C7E2D-EC23-42BD-8267-7B3DD90D2EC0}"/>
    <cellStyle name="Normal 5 2 2 3" xfId="6122" xr:uid="{00000000-0005-0000-0000-00002F120000}"/>
    <cellStyle name="Normal 5 2 2 3 2" xfId="8912" xr:uid="{FD2C210D-887E-473F-9009-ADF9AE4E54E5}"/>
    <cellStyle name="Normal 5 22" xfId="5903" xr:uid="{00000000-0005-0000-0000-000030120000}"/>
    <cellStyle name="Normal 5 22 2" xfId="6170" xr:uid="{00000000-0005-0000-0000-000031120000}"/>
    <cellStyle name="Normal 5 22 2 2" xfId="8959" xr:uid="{0F0FB258-C6D2-413D-89E2-500C1DA30489}"/>
    <cellStyle name="Normal 5 22 3" xfId="8729" xr:uid="{97425D7A-D1D1-47D2-AD0F-F43E1E88318A}"/>
    <cellStyle name="Normal 5 3" xfId="2290" xr:uid="{00000000-0005-0000-0000-000032120000}"/>
    <cellStyle name="Normal 5 3 2" xfId="5904" xr:uid="{00000000-0005-0000-0000-000033120000}"/>
    <cellStyle name="Normal 5 3 2 2" xfId="6123" xr:uid="{00000000-0005-0000-0000-000034120000}"/>
    <cellStyle name="Normal 5 3 2 2 2" xfId="8913" xr:uid="{F1E2E96C-18DD-47E7-BDB9-B814ACC87BBA}"/>
    <cellStyle name="Normal 5 3 2 3" xfId="8730" xr:uid="{A9FFC579-AF8B-438F-B81C-E3D8F1D5EA54}"/>
    <cellStyle name="Normal 5 4" xfId="609" xr:uid="{00000000-0005-0000-0000-000035120000}"/>
    <cellStyle name="Normal 5 5" xfId="5905" xr:uid="{00000000-0005-0000-0000-000036120000}"/>
    <cellStyle name="Normal 5 5 2" xfId="6124" xr:uid="{00000000-0005-0000-0000-000037120000}"/>
    <cellStyle name="Normal 5 5 2 2" xfId="8914" xr:uid="{833962A3-7083-463F-B669-D0603312A868}"/>
    <cellStyle name="Normal 5 5 3" xfId="8731" xr:uid="{F3B13606-8ACA-430A-9E70-264671466729}"/>
    <cellStyle name="Normal 5 6" xfId="5906" xr:uid="{00000000-0005-0000-0000-000038120000}"/>
    <cellStyle name="Normal 5 6 2" xfId="5907" xr:uid="{00000000-0005-0000-0000-000039120000}"/>
    <cellStyle name="Normal 5 6 2 2" xfId="6126" xr:uid="{00000000-0005-0000-0000-00003A120000}"/>
    <cellStyle name="Normal 5 6 2 2 2" xfId="8916" xr:uid="{F62DDCBA-6240-4753-ACC5-0C47FFD4D1C7}"/>
    <cellStyle name="Normal 5 6 2 3" xfId="8733" xr:uid="{A7EF6DA6-3E8C-48AA-B3B2-D6FF97BD1E1C}"/>
    <cellStyle name="Normal 5 6 3" xfId="6125" xr:uid="{00000000-0005-0000-0000-00003B120000}"/>
    <cellStyle name="Normal 5 6 3 2" xfId="8915" xr:uid="{14EEC700-C0B2-486F-BD2A-71924CB74878}"/>
    <cellStyle name="Normal 5 6 4" xfId="8732" xr:uid="{80B44DD9-ADA0-4183-973C-54D2BA3BE8DD}"/>
    <cellStyle name="Normal 5 7" xfId="5900" xr:uid="{00000000-0005-0000-0000-00003C120000}"/>
    <cellStyle name="Normal 5 7 2" xfId="8726" xr:uid="{3CEBA21E-3A01-40D7-9EC1-36E66D5C48F0}"/>
    <cellStyle name="Normal 5 8" xfId="6121" xr:uid="{00000000-0005-0000-0000-00003D120000}"/>
    <cellStyle name="Normal 5 8 2" xfId="8911" xr:uid="{0C515743-F128-49ED-AA0B-EE81F352337C}"/>
    <cellStyle name="Normal 50" xfId="6044" xr:uid="{00000000-0005-0000-0000-00003E120000}"/>
    <cellStyle name="Normal 50 2" xfId="8845" xr:uid="{CDC5321A-8383-49C7-85BB-03FDADC97741}"/>
    <cellStyle name="Normal 51" xfId="6171" xr:uid="{D837EE65-6A14-4F1E-8194-CA5D49F8ACD1}"/>
    <cellStyle name="Normal 51 2" xfId="8960" xr:uid="{1AFEEDF7-7AA5-41B0-A3B9-55442D6384A1}"/>
    <cellStyle name="Normal 52" xfId="8964" xr:uid="{365C47C1-5C38-45D9-97B0-9520BF327E01}"/>
    <cellStyle name="Normal 52 2" xfId="6177" xr:uid="{070848FD-734E-4603-B949-8A33360E5F85}"/>
    <cellStyle name="Normal 52 2 2" xfId="8963" xr:uid="{BACDCEC1-64EF-477D-850F-880330E8B53A}"/>
    <cellStyle name="Normal 6" xfId="458" xr:uid="{00000000-0005-0000-0000-00003F120000}"/>
    <cellStyle name="Normal 6 2" xfId="459" xr:uid="{00000000-0005-0000-0000-000040120000}"/>
    <cellStyle name="Normal 6 2 2" xfId="460" xr:uid="{00000000-0005-0000-0000-000041120000}"/>
    <cellStyle name="Normal 6 2 2 2" xfId="3444" xr:uid="{00000000-0005-0000-0000-000042120000}"/>
    <cellStyle name="Normal 6 2 2 2 2" xfId="3831" xr:uid="{00000000-0005-0000-0000-000043120000}"/>
    <cellStyle name="Normal 6 2 2 2 3" xfId="5172" xr:uid="{00000000-0005-0000-0000-000044120000}"/>
    <cellStyle name="Normal 6 2 2 3" xfId="3758" xr:uid="{00000000-0005-0000-0000-000045120000}"/>
    <cellStyle name="Normal 6 2 2 4" xfId="665" xr:uid="{00000000-0005-0000-0000-000046120000}"/>
    <cellStyle name="Normal 6 2 3" xfId="1745" xr:uid="{00000000-0005-0000-0000-000047120000}"/>
    <cellStyle name="Normal 6 2 3 2" xfId="3759" xr:uid="{00000000-0005-0000-0000-000048120000}"/>
    <cellStyle name="Normal 6 2 4" xfId="2288" xr:uid="{00000000-0005-0000-0000-000049120000}"/>
    <cellStyle name="Normal 6 2 4 2" xfId="2481" xr:uid="{00000000-0005-0000-0000-00004A120000}"/>
    <cellStyle name="Normal 6 2 4 2 2" xfId="4794" xr:uid="{00000000-0005-0000-0000-00004B120000}"/>
    <cellStyle name="Normal 6 2 5" xfId="626" xr:uid="{00000000-0005-0000-0000-00004C120000}"/>
    <cellStyle name="Normal 6 2 5 2" xfId="5908" xr:uid="{00000000-0005-0000-0000-00004D120000}"/>
    <cellStyle name="Normal 6 2 5 2 2" xfId="8734" xr:uid="{2AB80EF7-DC8F-443E-A54F-B206935664C7}"/>
    <cellStyle name="Normal 6 2 5 3" xfId="6127" xr:uid="{00000000-0005-0000-0000-00004E120000}"/>
    <cellStyle name="Normal 6 2 5 3 2" xfId="8917" xr:uid="{754E06BA-3DF5-409A-A637-180D7C2B3BD0}"/>
    <cellStyle name="Normal 6 3" xfId="461" xr:uid="{00000000-0005-0000-0000-00004F120000}"/>
    <cellStyle name="Normal 6 3 2" xfId="3445" xr:uid="{00000000-0005-0000-0000-000050120000}"/>
    <cellStyle name="Normal 6 3 2 2" xfId="3832" xr:uid="{00000000-0005-0000-0000-000051120000}"/>
    <cellStyle name="Normal 6 3 2 3" xfId="5237" xr:uid="{00000000-0005-0000-0000-000052120000}"/>
    <cellStyle name="Normal 6 3 3" xfId="3760" xr:uid="{00000000-0005-0000-0000-000053120000}"/>
    <cellStyle name="Normal 6 3 4" xfId="625" xr:uid="{00000000-0005-0000-0000-000054120000}"/>
    <cellStyle name="Normal 6 4" xfId="462" xr:uid="{00000000-0005-0000-0000-000055120000}"/>
    <cellStyle name="Normal 6 4 2" xfId="3446" xr:uid="{00000000-0005-0000-0000-000056120000}"/>
    <cellStyle name="Normal 6 4 2 2" xfId="3834" xr:uid="{00000000-0005-0000-0000-000057120000}"/>
    <cellStyle name="Normal 6 4 3" xfId="3833" xr:uid="{00000000-0005-0000-0000-000058120000}"/>
    <cellStyle name="Normal 6 4 4" xfId="1746" xr:uid="{00000000-0005-0000-0000-000059120000}"/>
    <cellStyle name="Normal 6 4 5" xfId="5909" xr:uid="{00000000-0005-0000-0000-00005A120000}"/>
    <cellStyle name="Normal 6 4 5 2" xfId="8735" xr:uid="{345BCD9B-2A78-4968-8865-E7AF5DB1E7AB}"/>
    <cellStyle name="Normal 6 4 6" xfId="6128" xr:uid="{00000000-0005-0000-0000-00005B120000}"/>
    <cellStyle name="Normal 6 4 6 2" xfId="8918" xr:uid="{2C4C129D-A47E-430C-9811-AA8B7142B14E}"/>
    <cellStyle name="Normal 6 5" xfId="2289" xr:uid="{00000000-0005-0000-0000-00005C120000}"/>
    <cellStyle name="Normal 6 6" xfId="599" xr:uid="{00000000-0005-0000-0000-00005D120000}"/>
    <cellStyle name="Normal 66" xfId="8965" xr:uid="{82E401C2-CD71-434D-A510-F623A2D86029}"/>
    <cellStyle name="Normal 67" xfId="5639" xr:uid="{00000000-0005-0000-0000-00005E120000}"/>
    <cellStyle name="Normal 67 2" xfId="6166" xr:uid="{00000000-0005-0000-0000-00005F120000}"/>
    <cellStyle name="Normal 67 2 2" xfId="8955" xr:uid="{85BE4183-0E08-433D-9B10-586139428BC7}"/>
    <cellStyle name="Normal 67 3" xfId="8517" xr:uid="{CD6464F4-2500-4F30-A238-483A0C056CCD}"/>
    <cellStyle name="Normal 7" xfId="463" xr:uid="{00000000-0005-0000-0000-000060120000}"/>
    <cellStyle name="Normal 7 2" xfId="464" xr:uid="{00000000-0005-0000-0000-000061120000}"/>
    <cellStyle name="Normal 7 2 2" xfId="2287" xr:uid="{00000000-0005-0000-0000-000062120000}"/>
    <cellStyle name="Normal 7 2 3" xfId="666" xr:uid="{00000000-0005-0000-0000-000063120000}"/>
    <cellStyle name="Normal 7 3" xfId="465" xr:uid="{00000000-0005-0000-0000-000064120000}"/>
    <cellStyle name="Normal 7 3 10" xfId="684" xr:uid="{00000000-0005-0000-0000-000065120000}"/>
    <cellStyle name="Normal 7 3 10 2" xfId="6352" xr:uid="{A9F0C54A-5CA8-413E-B936-B7C121E1ADDB}"/>
    <cellStyle name="Normal 7 3 11" xfId="5910" xr:uid="{00000000-0005-0000-0000-000066120000}"/>
    <cellStyle name="Normal 7 3 12" xfId="6258" xr:uid="{44D644D8-2EC4-4E2D-9051-4312463624B7}"/>
    <cellStyle name="Normal 7 3 2" xfId="466" xr:uid="{00000000-0005-0000-0000-000067120000}"/>
    <cellStyle name="Normal 7 3 2 10" xfId="5911" xr:uid="{00000000-0005-0000-0000-000068120000}"/>
    <cellStyle name="Normal 7 3 2 10 2" xfId="8736" xr:uid="{AD79A6B7-A53C-4EDB-A0CD-91ECEF5F8FB5}"/>
    <cellStyle name="Normal 7 3 2 11" xfId="6129" xr:uid="{00000000-0005-0000-0000-000069120000}"/>
    <cellStyle name="Normal 7 3 2 11 2" xfId="8919" xr:uid="{B5BEB05F-7CEE-4CCC-9A08-8DD82196B437}"/>
    <cellStyle name="Normal 7 3 2 12" xfId="6259" xr:uid="{8EF3D294-5E4E-4A69-A1EB-232AE2B6DBCE}"/>
    <cellStyle name="Normal 7 3 2 2" xfId="467" xr:uid="{00000000-0005-0000-0000-00006A120000}"/>
    <cellStyle name="Normal 7 3 2 2 2" xfId="3447" xr:uid="{00000000-0005-0000-0000-00006B120000}"/>
    <cellStyle name="Normal 7 3 2 2 2 2" xfId="4406" xr:uid="{00000000-0005-0000-0000-00006C120000}"/>
    <cellStyle name="Normal 7 3 2 2 2 2 2" xfId="7633" xr:uid="{4C2B42F8-3E0E-44BD-BB63-875D2F7F96DC}"/>
    <cellStyle name="Normal 7 3 2 2 2 3" xfId="5195" xr:uid="{00000000-0005-0000-0000-00006D120000}"/>
    <cellStyle name="Normal 7 3 2 2 2 3 2" xfId="8142" xr:uid="{BB630DA8-A0D3-4D5B-B327-E7686A6C74B5}"/>
    <cellStyle name="Normal 7 3 2 2 2 4" xfId="5382" xr:uid="{00000000-0005-0000-0000-00006E120000}"/>
    <cellStyle name="Normal 7 3 2 2 2 4 2" xfId="8304" xr:uid="{19241A4C-E26D-4293-937B-8D735DAAEA3E}"/>
    <cellStyle name="Normal 7 3 2 2 2 5" xfId="7057" xr:uid="{F7428CEC-1F97-4127-8718-8A0F5304BC59}"/>
    <cellStyle name="Normal 7 3 2 2 3" xfId="4054" xr:uid="{00000000-0005-0000-0000-00006F120000}"/>
    <cellStyle name="Normal 7 3 2 2 3 2" xfId="7358" xr:uid="{23CCB739-AF28-4153-84AD-061DD2DDE37D}"/>
    <cellStyle name="Normal 7 3 2 2 4" xfId="4285" xr:uid="{00000000-0005-0000-0000-000070120000}"/>
    <cellStyle name="Normal 7 3 2 2 4 2" xfId="7512" xr:uid="{2435360C-254D-45AD-AEEC-952E31083879}"/>
    <cellStyle name="Normal 7 3 2 2 5" xfId="5109" xr:uid="{00000000-0005-0000-0000-000071120000}"/>
    <cellStyle name="Normal 7 3 2 2 5 2" xfId="8066" xr:uid="{9647E070-8E37-40A4-9751-6C88102C3EB5}"/>
    <cellStyle name="Normal 7 3 2 2 6" xfId="5311" xr:uid="{00000000-0005-0000-0000-000072120000}"/>
    <cellStyle name="Normal 7 3 2 2 6 2" xfId="8233" xr:uid="{AF6F0C71-4671-4BFD-8CFA-95B3781CB238}"/>
    <cellStyle name="Normal 7 3 2 2 7" xfId="743" xr:uid="{00000000-0005-0000-0000-000073120000}"/>
    <cellStyle name="Normal 7 3 2 2 7 2" xfId="6406" xr:uid="{0E46A537-E94D-419A-91B7-0BE2A20CEC33}"/>
    <cellStyle name="Normal 7 3 2 2 8" xfId="6260" xr:uid="{D5548C24-D0A9-4BD1-A14E-3AB739D68727}"/>
    <cellStyle name="Normal 7 3 2 3" xfId="1748" xr:uid="{00000000-0005-0000-0000-000074120000}"/>
    <cellStyle name="Normal 7 3 2 3 2" xfId="4053" xr:uid="{00000000-0005-0000-0000-000075120000}"/>
    <cellStyle name="Normal 7 3 2 3 2 2" xfId="4405" xr:uid="{00000000-0005-0000-0000-000076120000}"/>
    <cellStyle name="Normal 7 3 2 3 2 2 2" xfId="7632" xr:uid="{66FAFCF0-B26E-4631-8025-798729D2BD0E}"/>
    <cellStyle name="Normal 7 3 2 3 2 3" xfId="7357" xr:uid="{AD45909B-64C5-45D3-AD95-2F00E1F1E188}"/>
    <cellStyle name="Normal 7 3 2 3 3" xfId="4284" xr:uid="{00000000-0005-0000-0000-000077120000}"/>
    <cellStyle name="Normal 7 3 2 3 3 2" xfId="7511" xr:uid="{659C6DC7-7930-406E-9F38-38BA4CE75888}"/>
    <cellStyle name="Normal 7 3 2 3 4" xfId="5108" xr:uid="{00000000-0005-0000-0000-000078120000}"/>
    <cellStyle name="Normal 7 3 2 3 4 2" xfId="8065" xr:uid="{BB8C9FDC-5502-479B-B015-657B7E2F088C}"/>
    <cellStyle name="Normal 7 3 2 3 5" xfId="5381" xr:uid="{00000000-0005-0000-0000-000079120000}"/>
    <cellStyle name="Normal 7 3 2 3 5 2" xfId="8303" xr:uid="{5A7CAF2A-16AB-4DE1-888F-2957D5CE3CD4}"/>
    <cellStyle name="Normal 7 3 2 3 6" xfId="6540" xr:uid="{21BC0C2A-7538-4972-B8FD-4D612C9C1C68}"/>
    <cellStyle name="Normal 7 3 2 4" xfId="2937" xr:uid="{00000000-0005-0000-0000-00007A120000}"/>
    <cellStyle name="Normal 7 3 2 4 2" xfId="4337" xr:uid="{00000000-0005-0000-0000-00007B120000}"/>
    <cellStyle name="Normal 7 3 2 4 2 2" xfId="7564" xr:uid="{AA944F6F-5C60-48A2-92B7-D16AFC3537E9}"/>
    <cellStyle name="Normal 7 3 2 4 3" xfId="6973" xr:uid="{3FD3842E-C512-41DA-8A75-8F12EFE4DA66}"/>
    <cellStyle name="Normal 7 3 2 5" xfId="3985" xr:uid="{00000000-0005-0000-0000-00007C120000}"/>
    <cellStyle name="Normal 7 3 2 5 2" xfId="7289" xr:uid="{3B7029D2-FB39-464A-B63C-22E079654D3C}"/>
    <cellStyle name="Normal 7 3 2 6" xfId="4216" xr:uid="{00000000-0005-0000-0000-00007D120000}"/>
    <cellStyle name="Normal 7 3 2 6 2" xfId="7443" xr:uid="{15687087-4BA1-4B85-B567-9B7A0EBF0D07}"/>
    <cellStyle name="Normal 7 3 2 7" xfId="5030" xr:uid="{00000000-0005-0000-0000-00007E120000}"/>
    <cellStyle name="Normal 7 3 2 7 2" xfId="7997" xr:uid="{86030BDC-6574-4785-BCA6-AC5A08906C7D}"/>
    <cellStyle name="Normal 7 3 2 8" xfId="5278" xr:uid="{00000000-0005-0000-0000-00007F120000}"/>
    <cellStyle name="Normal 7 3 2 8 2" xfId="8200" xr:uid="{3BAFFAB0-067A-4EEA-A9C5-1EBC3FB13058}"/>
    <cellStyle name="Normal 7 3 2 9" xfId="707" xr:uid="{00000000-0005-0000-0000-000080120000}"/>
    <cellStyle name="Normal 7 3 2 9 2" xfId="6373" xr:uid="{E4A7CA10-F9AA-4787-889E-4A71E813FE7C}"/>
    <cellStyle name="Normal 7 3 3" xfId="468" xr:uid="{00000000-0005-0000-0000-000081120000}"/>
    <cellStyle name="Normal 7 3 3 2" xfId="3448" xr:uid="{00000000-0005-0000-0000-000082120000}"/>
    <cellStyle name="Normal 7 3 3 2 2" xfId="4407" xr:uid="{00000000-0005-0000-0000-000083120000}"/>
    <cellStyle name="Normal 7 3 3 2 2 2" xfId="7634" xr:uid="{74DF5A74-B382-4690-8834-8DDE0C5DD5EF}"/>
    <cellStyle name="Normal 7 3 3 2 3" xfId="5196" xr:uid="{00000000-0005-0000-0000-000084120000}"/>
    <cellStyle name="Normal 7 3 3 2 3 2" xfId="8143" xr:uid="{F4ECC293-F039-4961-812C-F706FDD4E6DC}"/>
    <cellStyle name="Normal 7 3 3 2 4" xfId="5383" xr:uid="{00000000-0005-0000-0000-000085120000}"/>
    <cellStyle name="Normal 7 3 3 2 4 2" xfId="8305" xr:uid="{DDFFF014-58BC-4034-BD68-DAAEEE9DD97F}"/>
    <cellStyle name="Normal 7 3 3 2 5" xfId="7058" xr:uid="{C64C826B-8412-43C6-9827-67E1058CE1D7}"/>
    <cellStyle name="Normal 7 3 3 3" xfId="4055" xr:uid="{00000000-0005-0000-0000-000086120000}"/>
    <cellStyle name="Normal 7 3 3 3 2" xfId="7359" xr:uid="{F8843642-779F-44C7-A3B5-8C9D075D4FC8}"/>
    <cellStyle name="Normal 7 3 3 4" xfId="4286" xr:uid="{00000000-0005-0000-0000-000087120000}"/>
    <cellStyle name="Normal 7 3 3 4 2" xfId="7513" xr:uid="{D6181BDD-1BBC-4810-B201-CF7B66B9CC6D}"/>
    <cellStyle name="Normal 7 3 3 5" xfId="5110" xr:uid="{00000000-0005-0000-0000-000088120000}"/>
    <cellStyle name="Normal 7 3 3 5 2" xfId="8067" xr:uid="{A592F470-8941-41E2-A2FD-D3E5820AB2D6}"/>
    <cellStyle name="Normal 7 3 3 6" xfId="5310" xr:uid="{00000000-0005-0000-0000-000089120000}"/>
    <cellStyle name="Normal 7 3 3 6 2" xfId="8232" xr:uid="{4A61101C-20C1-4693-A819-4463166BAA40}"/>
    <cellStyle name="Normal 7 3 3 7" xfId="742" xr:uid="{00000000-0005-0000-0000-00008A120000}"/>
    <cellStyle name="Normal 7 3 3 7 2" xfId="6405" xr:uid="{8E7A0DEB-2D0A-452C-A882-5F80742CFE2D}"/>
    <cellStyle name="Normal 7 3 3 8" xfId="6261" xr:uid="{380AE854-FFDF-4626-8768-6B3E93306071}"/>
    <cellStyle name="Normal 7 3 4" xfId="1747" xr:uid="{00000000-0005-0000-0000-00008B120000}"/>
    <cellStyle name="Normal 7 3 4 2" xfId="4052" xr:uid="{00000000-0005-0000-0000-00008C120000}"/>
    <cellStyle name="Normal 7 3 4 2 2" xfId="4404" xr:uid="{00000000-0005-0000-0000-00008D120000}"/>
    <cellStyle name="Normal 7 3 4 2 2 2" xfId="7631" xr:uid="{380F4266-9C11-4552-90D5-00F4BF3CB7C2}"/>
    <cellStyle name="Normal 7 3 4 2 3" xfId="7356" xr:uid="{C0534FAF-28F8-4BEC-80B0-E59F7E61534C}"/>
    <cellStyle name="Normal 7 3 4 3" xfId="4283" xr:uid="{00000000-0005-0000-0000-00008E120000}"/>
    <cellStyle name="Normal 7 3 4 3 2" xfId="7510" xr:uid="{41B9B163-9E5E-4491-B7C0-D11C43B89B7E}"/>
    <cellStyle name="Normal 7 3 4 4" xfId="5107" xr:uid="{00000000-0005-0000-0000-00008F120000}"/>
    <cellStyle name="Normal 7 3 4 4 2" xfId="8064" xr:uid="{3D06E516-7C66-4344-9D4F-CC57C37D6022}"/>
    <cellStyle name="Normal 7 3 4 5" xfId="5380" xr:uid="{00000000-0005-0000-0000-000090120000}"/>
    <cellStyle name="Normal 7 3 4 5 2" xfId="8302" xr:uid="{0F2B744C-CABC-4BCC-B949-A1631F326E58}"/>
    <cellStyle name="Normal 7 3 4 6" xfId="6539" xr:uid="{DC4B441A-AF1B-40DA-97BC-A6B284B0495F}"/>
    <cellStyle name="Normal 7 3 5" xfId="2936" xr:uid="{00000000-0005-0000-0000-000091120000}"/>
    <cellStyle name="Normal 7 3 5 2" xfId="4336" xr:uid="{00000000-0005-0000-0000-000092120000}"/>
    <cellStyle name="Normal 7 3 5 2 2" xfId="7563" xr:uid="{4088FA9B-2F99-46C5-BBB2-DCEF0174BB6C}"/>
    <cellStyle name="Normal 7 3 5 3" xfId="6972" xr:uid="{9C4AD41D-A7E6-4A59-A91D-3227F4DECEDC}"/>
    <cellStyle name="Normal 7 3 6" xfId="3984" xr:uid="{00000000-0005-0000-0000-000093120000}"/>
    <cellStyle name="Normal 7 3 6 2" xfId="7288" xr:uid="{B5718235-0298-4A3D-9900-B301CBB805BF}"/>
    <cellStyle name="Normal 7 3 7" xfId="4215" xr:uid="{00000000-0005-0000-0000-000094120000}"/>
    <cellStyle name="Normal 7 3 7 2" xfId="7442" xr:uid="{378407C6-3437-461D-8F05-4FF2A522E98E}"/>
    <cellStyle name="Normal 7 3 8" xfId="5029" xr:uid="{00000000-0005-0000-0000-000095120000}"/>
    <cellStyle name="Normal 7 3 8 2" xfId="7996" xr:uid="{72C323DB-B194-448D-9611-0C119715E639}"/>
    <cellStyle name="Normal 7 3 9" xfId="5257" xr:uid="{00000000-0005-0000-0000-000096120000}"/>
    <cellStyle name="Normal 7 3 9 2" xfId="8179" xr:uid="{0C52C61B-6E19-40D1-9AC6-F5B3457077EC}"/>
    <cellStyle name="Normal 7 4" xfId="469" xr:uid="{00000000-0005-0000-0000-000097120000}"/>
    <cellStyle name="Normal 7 4 10" xfId="6130" xr:uid="{00000000-0005-0000-0000-000098120000}"/>
    <cellStyle name="Normal 7 4 10 2" xfId="8920" xr:uid="{05A63A7A-B238-442F-8975-97BC7079F491}"/>
    <cellStyle name="Normal 7 4 11" xfId="6262" xr:uid="{CD9B45D3-3B3F-4EE0-B6DE-59A0569881AF}"/>
    <cellStyle name="Normal 7 4 2" xfId="1749" xr:uid="{00000000-0005-0000-0000-000099120000}"/>
    <cellStyle name="Normal 7 4 2 2" xfId="4408" xr:uid="{00000000-0005-0000-0000-00009A120000}"/>
    <cellStyle name="Normal 7 4 2 2 2" xfId="7635" xr:uid="{49501F59-51F1-4E6C-8977-331870B1E200}"/>
    <cellStyle name="Normal 7 4 2 3" xfId="5197" xr:uid="{00000000-0005-0000-0000-00009B120000}"/>
    <cellStyle name="Normal 7 4 2 3 2" xfId="8144" xr:uid="{551F30BB-BD7B-4AD9-B8FE-57680F161D03}"/>
    <cellStyle name="Normal 7 4 2 4" xfId="5384" xr:uid="{00000000-0005-0000-0000-00009C120000}"/>
    <cellStyle name="Normal 7 4 2 4 2" xfId="8306" xr:uid="{232C1285-F6A8-467D-83BF-3698379B2590}"/>
    <cellStyle name="Normal 7 4 2 5" xfId="6541" xr:uid="{DDA16918-33C8-431A-98E0-CEDB9D5567D8}"/>
    <cellStyle name="Normal 7 4 3" xfId="4056" xr:uid="{00000000-0005-0000-0000-00009D120000}"/>
    <cellStyle name="Normal 7 4 3 2" xfId="7360" xr:uid="{D2748714-74BC-48DC-985D-816BD549BB5D}"/>
    <cellStyle name="Normal 7 4 4" xfId="4287" xr:uid="{00000000-0005-0000-0000-00009E120000}"/>
    <cellStyle name="Normal 7 4 4 2" xfId="7514" xr:uid="{DABE9855-A0DB-4885-8807-6DB5FA29BFB0}"/>
    <cellStyle name="Normal 7 4 5" xfId="5111" xr:uid="{00000000-0005-0000-0000-00009F120000}"/>
    <cellStyle name="Normal 7 4 5 2" xfId="8068" xr:uid="{CB050A3F-2D7E-47E2-92AD-960757E629C8}"/>
    <cellStyle name="Normal 7 4 6" xfId="5312" xr:uid="{00000000-0005-0000-0000-0000A0120000}"/>
    <cellStyle name="Normal 7 4 6 2" xfId="8234" xr:uid="{F69445F9-83BC-4CEF-94F3-D6FAFD7CD2B4}"/>
    <cellStyle name="Normal 7 4 7" xfId="5218" xr:uid="{00000000-0005-0000-0000-0000A1120000}"/>
    <cellStyle name="Normal 7 4 8" xfId="744" xr:uid="{00000000-0005-0000-0000-0000A2120000}"/>
    <cellStyle name="Normal 7 4 8 2" xfId="6407" xr:uid="{1FAC2F78-A748-4614-93D8-D5689FD39A11}"/>
    <cellStyle name="Normal 7 4 9" xfId="5912" xr:uid="{00000000-0005-0000-0000-0000A3120000}"/>
    <cellStyle name="Normal 7 4 9 2" xfId="8737" xr:uid="{E427E241-24EA-4CBB-B267-7B96F712F10C}"/>
    <cellStyle name="Normal 7 5" xfId="2935" xr:uid="{00000000-0005-0000-0000-0000A4120000}"/>
    <cellStyle name="Normal 7 5 2" xfId="4796" xr:uid="{00000000-0005-0000-0000-0000A5120000}"/>
    <cellStyle name="Normal 7 5 3" xfId="4165" xr:uid="{00000000-0005-0000-0000-0000A6120000}"/>
    <cellStyle name="Normal 7 5 3 2" xfId="7410" xr:uid="{7A07413F-62E5-430E-B928-E23FC0A00596}"/>
    <cellStyle name="Normal 7 6" xfId="2558" xr:uid="{00000000-0005-0000-0000-0000A7120000}"/>
    <cellStyle name="Normal 7 6 2" xfId="5245" xr:uid="{00000000-0005-0000-0000-0000A8120000}"/>
    <cellStyle name="Normal 7 6 2 2" xfId="8167" xr:uid="{C46CC90B-7DDA-4E63-B28C-37E79C752FCA}"/>
    <cellStyle name="Normal 7 7" xfId="606" xr:uid="{00000000-0005-0000-0000-0000A9120000}"/>
    <cellStyle name="Normal 7 7 2" xfId="6310" xr:uid="{A661F299-2F20-48E7-9DFC-3F1EDE3F545E}"/>
    <cellStyle name="Normal 7 8" xfId="6257" xr:uid="{F83E3215-21F4-4AEA-81A1-9FBC2C334457}"/>
    <cellStyle name="Normal 8" xfId="470" xr:uid="{00000000-0005-0000-0000-0000AA120000}"/>
    <cellStyle name="Normal 8 10" xfId="5247" xr:uid="{00000000-0005-0000-0000-0000AB120000}"/>
    <cellStyle name="Normal 8 10 2" xfId="8169" xr:uid="{C26EFEC0-B9F3-460B-A491-60BFA15223BE}"/>
    <cellStyle name="Normal 8 11" xfId="636" xr:uid="{00000000-0005-0000-0000-0000AC120000}"/>
    <cellStyle name="Normal 8 11 2" xfId="6322" xr:uid="{0B32DDA5-1AE4-43F0-94C5-702DB6FF7D87}"/>
    <cellStyle name="Normal 8 12" xfId="5913" xr:uid="{00000000-0005-0000-0000-0000AD120000}"/>
    <cellStyle name="Normal 8 12 2" xfId="8738" xr:uid="{FAB7381C-9193-454A-97C5-B742043700A6}"/>
    <cellStyle name="Normal 8 13" xfId="6131" xr:uid="{00000000-0005-0000-0000-0000AE120000}"/>
    <cellStyle name="Normal 8 13 2" xfId="8921" xr:uid="{2CA4DE85-DE91-48FA-95C8-C7F82E5C79F7}"/>
    <cellStyle name="Normal 8 14" xfId="6263" xr:uid="{9B5F1E43-2F3C-4D1D-887A-D5FB40D7E454}"/>
    <cellStyle name="Normal 8 2" xfId="471" xr:uid="{00000000-0005-0000-0000-0000AF120000}"/>
    <cellStyle name="Normal 8 2 10" xfId="686" xr:uid="{00000000-0005-0000-0000-0000B0120000}"/>
    <cellStyle name="Normal 8 2 10 2" xfId="6353" xr:uid="{F70EEA6F-1726-49B1-BD3C-3F3E1C566E71}"/>
    <cellStyle name="Normal 8 2 11" xfId="5914" xr:uid="{00000000-0005-0000-0000-0000B1120000}"/>
    <cellStyle name="Normal 8 2 11 2" xfId="8739" xr:uid="{F44A6EF4-6E87-4493-92B1-17344E234816}"/>
    <cellStyle name="Normal 8 2 12" xfId="6132" xr:uid="{00000000-0005-0000-0000-0000B2120000}"/>
    <cellStyle name="Normal 8 2 12 2" xfId="8922" xr:uid="{F37F5AC7-5395-4A2A-B495-DB9B622C8050}"/>
    <cellStyle name="Normal 8 2 13" xfId="6264" xr:uid="{3EDE6B4D-0500-4463-B9F4-C76D845D0C25}"/>
    <cellStyle name="Normal 8 2 2" xfId="472" xr:uid="{00000000-0005-0000-0000-0000B3120000}"/>
    <cellStyle name="Normal 8 2 2 10" xfId="5915" xr:uid="{00000000-0005-0000-0000-0000B4120000}"/>
    <cellStyle name="Normal 8 2 2 10 2" xfId="8740" xr:uid="{38D1A20D-3764-498F-97C8-942EDAB23E9F}"/>
    <cellStyle name="Normal 8 2 2 11" xfId="6133" xr:uid="{00000000-0005-0000-0000-0000B5120000}"/>
    <cellStyle name="Normal 8 2 2 11 2" xfId="8923" xr:uid="{820B3D46-2470-46A3-8B17-6CD0F4A5DEF3}"/>
    <cellStyle name="Normal 8 2 2 12" xfId="6265" xr:uid="{4133D235-233B-430F-BF65-0C451D2D7BC8}"/>
    <cellStyle name="Normal 8 2 2 2" xfId="473" xr:uid="{00000000-0005-0000-0000-0000B6120000}"/>
    <cellStyle name="Normal 8 2 2 2 2" xfId="3450" xr:uid="{00000000-0005-0000-0000-0000B7120000}"/>
    <cellStyle name="Normal 8 2 2 2 2 2" xfId="4412" xr:uid="{00000000-0005-0000-0000-0000B8120000}"/>
    <cellStyle name="Normal 8 2 2 2 2 2 2" xfId="7639" xr:uid="{28435B54-DF2A-4D45-B209-AC056C6207FE}"/>
    <cellStyle name="Normal 8 2 2 2 2 3" xfId="5198" xr:uid="{00000000-0005-0000-0000-0000B9120000}"/>
    <cellStyle name="Normal 8 2 2 2 2 3 2" xfId="8145" xr:uid="{C5B9EF3F-7017-43E3-8586-BFE9436C628C}"/>
    <cellStyle name="Normal 8 2 2 2 2 4" xfId="5388" xr:uid="{00000000-0005-0000-0000-0000BA120000}"/>
    <cellStyle name="Normal 8 2 2 2 2 4 2" xfId="8310" xr:uid="{303A38EA-80FF-436A-B127-8E5FBB543A7D}"/>
    <cellStyle name="Normal 8 2 2 2 2 5" xfId="7059" xr:uid="{957B7BDF-76B7-491F-9C1D-848ADF054316}"/>
    <cellStyle name="Normal 8 2 2 2 3" xfId="4060" xr:uid="{00000000-0005-0000-0000-0000BB120000}"/>
    <cellStyle name="Normal 8 2 2 2 3 2" xfId="7364" xr:uid="{32171211-81A8-4F36-B86F-CD8846D62F57}"/>
    <cellStyle name="Normal 8 2 2 2 4" xfId="4291" xr:uid="{00000000-0005-0000-0000-0000BC120000}"/>
    <cellStyle name="Normal 8 2 2 2 4 2" xfId="7518" xr:uid="{BF6B3288-EBD3-4141-ADC3-B2D8BD082CFE}"/>
    <cellStyle name="Normal 8 2 2 2 5" xfId="5115" xr:uid="{00000000-0005-0000-0000-0000BD120000}"/>
    <cellStyle name="Normal 8 2 2 2 5 2" xfId="8072" xr:uid="{BE1182AB-6A70-442C-B9CA-D1C6461CE019}"/>
    <cellStyle name="Normal 8 2 2 2 6" xfId="5315" xr:uid="{00000000-0005-0000-0000-0000BE120000}"/>
    <cellStyle name="Normal 8 2 2 2 6 2" xfId="8237" xr:uid="{36709C00-07F3-4C3F-89C9-EFF6D162B006}"/>
    <cellStyle name="Normal 8 2 2 2 7" xfId="747" xr:uid="{00000000-0005-0000-0000-0000BF120000}"/>
    <cellStyle name="Normal 8 2 2 2 7 2" xfId="6410" xr:uid="{658F7880-D91D-412A-A60C-C2E5089DF0F9}"/>
    <cellStyle name="Normal 8 2 2 2 8" xfId="6266" xr:uid="{83CDD605-B8AF-42DC-AD2E-562F2E70176E}"/>
    <cellStyle name="Normal 8 2 2 3" xfId="1752" xr:uid="{00000000-0005-0000-0000-0000C0120000}"/>
    <cellStyle name="Normal 8 2 2 3 2" xfId="4059" xr:uid="{00000000-0005-0000-0000-0000C1120000}"/>
    <cellStyle name="Normal 8 2 2 3 2 2" xfId="4411" xr:uid="{00000000-0005-0000-0000-0000C2120000}"/>
    <cellStyle name="Normal 8 2 2 3 2 2 2" xfId="7638" xr:uid="{8C9B04AB-5056-4D31-8CE5-6000AD4DBAD3}"/>
    <cellStyle name="Normal 8 2 2 3 2 3" xfId="7363" xr:uid="{0D81ADE1-973A-47B0-A4D0-7D4D858D3C12}"/>
    <cellStyle name="Normal 8 2 2 3 3" xfId="4290" xr:uid="{00000000-0005-0000-0000-0000C3120000}"/>
    <cellStyle name="Normal 8 2 2 3 3 2" xfId="7517" xr:uid="{16F70A74-BC29-4090-BDFD-1D0980987683}"/>
    <cellStyle name="Normal 8 2 2 3 4" xfId="5114" xr:uid="{00000000-0005-0000-0000-0000C4120000}"/>
    <cellStyle name="Normal 8 2 2 3 4 2" xfId="8071" xr:uid="{66A93AC6-964F-4ED8-B258-A635C1CE0032}"/>
    <cellStyle name="Normal 8 2 2 3 5" xfId="5387" xr:uid="{00000000-0005-0000-0000-0000C5120000}"/>
    <cellStyle name="Normal 8 2 2 3 5 2" xfId="8309" xr:uid="{88A749EC-10DD-43C0-8DEE-8DF4FD632DDD}"/>
    <cellStyle name="Normal 8 2 2 3 6" xfId="6544" xr:uid="{9737AA07-5961-4B92-928C-DDCDC341D48C}"/>
    <cellStyle name="Normal 8 2 2 4" xfId="2940" xr:uid="{00000000-0005-0000-0000-0000C6120000}"/>
    <cellStyle name="Normal 8 2 2 4 2" xfId="4340" xr:uid="{00000000-0005-0000-0000-0000C7120000}"/>
    <cellStyle name="Normal 8 2 2 4 2 2" xfId="7567" xr:uid="{C07FB7D1-3A80-47FE-B671-92C380634935}"/>
    <cellStyle name="Normal 8 2 2 4 3" xfId="6976" xr:uid="{92EF5D64-C7D6-4DFC-88D5-8F38B204681A}"/>
    <cellStyle name="Normal 8 2 2 5" xfId="3988" xr:uid="{00000000-0005-0000-0000-0000C8120000}"/>
    <cellStyle name="Normal 8 2 2 5 2" xfId="7292" xr:uid="{5D75F257-AB81-4701-A1B6-07332DBACDE9}"/>
    <cellStyle name="Normal 8 2 2 6" xfId="4219" xr:uid="{00000000-0005-0000-0000-0000C9120000}"/>
    <cellStyle name="Normal 8 2 2 6 2" xfId="7446" xr:uid="{609C293C-4EEA-4F75-A060-61FE20577D8C}"/>
    <cellStyle name="Normal 8 2 2 7" xfId="5033" xr:uid="{00000000-0005-0000-0000-0000CA120000}"/>
    <cellStyle name="Normal 8 2 2 7 2" xfId="8000" xr:uid="{2F2A244B-4D50-4770-8FAF-9D7F007189D4}"/>
    <cellStyle name="Normal 8 2 2 8" xfId="5280" xr:uid="{00000000-0005-0000-0000-0000CB120000}"/>
    <cellStyle name="Normal 8 2 2 8 2" xfId="8202" xr:uid="{C2BFA494-2D26-4B61-AF9A-F884F92CAE10}"/>
    <cellStyle name="Normal 8 2 2 9" xfId="709" xr:uid="{00000000-0005-0000-0000-0000CC120000}"/>
    <cellStyle name="Normal 8 2 2 9 2" xfId="6375" xr:uid="{1D9A1AE2-87B2-4A90-B121-1F4285BE6A9F}"/>
    <cellStyle name="Normal 8 2 3" xfId="474" xr:uid="{00000000-0005-0000-0000-0000CD120000}"/>
    <cellStyle name="Normal 8 2 3 10" xfId="6267" xr:uid="{F43779CF-A15F-4497-BE84-13BB2676211F}"/>
    <cellStyle name="Normal 8 2 3 2" xfId="3451" xr:uid="{00000000-0005-0000-0000-0000CE120000}"/>
    <cellStyle name="Normal 8 2 3 2 2" xfId="4413" xr:uid="{00000000-0005-0000-0000-0000CF120000}"/>
    <cellStyle name="Normal 8 2 3 2 2 2" xfId="7640" xr:uid="{837510BF-A098-45DF-877E-A7BB8E8C3659}"/>
    <cellStyle name="Normal 8 2 3 2 3" xfId="5199" xr:uid="{00000000-0005-0000-0000-0000D0120000}"/>
    <cellStyle name="Normal 8 2 3 2 3 2" xfId="8146" xr:uid="{664DA134-9DC1-48F2-A071-38761C26DF3A}"/>
    <cellStyle name="Normal 8 2 3 2 4" xfId="5389" xr:uid="{00000000-0005-0000-0000-0000D1120000}"/>
    <cellStyle name="Normal 8 2 3 2 4 2" xfId="8311" xr:uid="{7EF921B2-18C7-49F7-89A9-DD7F3A96377C}"/>
    <cellStyle name="Normal 8 2 3 2 5" xfId="7060" xr:uid="{F424E0AB-2346-4577-A2F1-8FC3FFDBAECE}"/>
    <cellStyle name="Normal 8 2 3 3" xfId="4061" xr:uid="{00000000-0005-0000-0000-0000D2120000}"/>
    <cellStyle name="Normal 8 2 3 3 2" xfId="7365" xr:uid="{B67F8626-D023-403C-AB2E-F2A44CEC6C0C}"/>
    <cellStyle name="Normal 8 2 3 4" xfId="4292" xr:uid="{00000000-0005-0000-0000-0000D3120000}"/>
    <cellStyle name="Normal 8 2 3 4 2" xfId="7519" xr:uid="{9145CAE3-5EF3-4E6A-9343-A446C2CF1A31}"/>
    <cellStyle name="Normal 8 2 3 5" xfId="5116" xr:uid="{00000000-0005-0000-0000-0000D4120000}"/>
    <cellStyle name="Normal 8 2 3 5 2" xfId="8073" xr:uid="{73B5F688-CE95-453F-A284-813CCB511FBB}"/>
    <cellStyle name="Normal 8 2 3 6" xfId="5314" xr:uid="{00000000-0005-0000-0000-0000D5120000}"/>
    <cellStyle name="Normal 8 2 3 6 2" xfId="8236" xr:uid="{7E327D41-E81A-40B5-8220-E88C6E4999EF}"/>
    <cellStyle name="Normal 8 2 3 7" xfId="746" xr:uid="{00000000-0005-0000-0000-0000D6120000}"/>
    <cellStyle name="Normal 8 2 3 7 2" xfId="6409" xr:uid="{8259635D-A025-4E20-817A-4F76069F55ED}"/>
    <cellStyle name="Normal 8 2 3 8" xfId="5916" xr:uid="{00000000-0005-0000-0000-0000D7120000}"/>
    <cellStyle name="Normal 8 2 3 8 2" xfId="8741" xr:uid="{EAACC4CE-31CE-4E0B-8573-09261C479053}"/>
    <cellStyle name="Normal 8 2 3 9" xfId="6134" xr:uid="{00000000-0005-0000-0000-0000D8120000}"/>
    <cellStyle name="Normal 8 2 3 9 2" xfId="8924" xr:uid="{3F60319D-FF26-4083-A9D7-B8056C1ABABF}"/>
    <cellStyle name="Normal 8 2 4" xfId="1751" xr:uid="{00000000-0005-0000-0000-0000D9120000}"/>
    <cellStyle name="Normal 8 2 4 2" xfId="4058" xr:uid="{00000000-0005-0000-0000-0000DA120000}"/>
    <cellStyle name="Normal 8 2 4 2 2" xfId="4410" xr:uid="{00000000-0005-0000-0000-0000DB120000}"/>
    <cellStyle name="Normal 8 2 4 2 2 2" xfId="7637" xr:uid="{9A01460C-C23C-475B-A7AB-F69D40392B36}"/>
    <cellStyle name="Normal 8 2 4 2 3" xfId="7362" xr:uid="{2206DC0E-047A-4506-84D9-1CB83FA9CC47}"/>
    <cellStyle name="Normal 8 2 4 3" xfId="4289" xr:uid="{00000000-0005-0000-0000-0000DC120000}"/>
    <cellStyle name="Normal 8 2 4 3 2" xfId="7516" xr:uid="{216D36DD-7662-41B4-A959-8375FFA67240}"/>
    <cellStyle name="Normal 8 2 4 4" xfId="5113" xr:uid="{00000000-0005-0000-0000-0000DD120000}"/>
    <cellStyle name="Normal 8 2 4 4 2" xfId="8070" xr:uid="{7E8029E7-0E57-4EAD-9C74-F3AEA09CE5FB}"/>
    <cellStyle name="Normal 8 2 4 5" xfId="5386" xr:uid="{00000000-0005-0000-0000-0000DE120000}"/>
    <cellStyle name="Normal 8 2 4 5 2" xfId="8308" xr:uid="{2D6B28D2-7C84-4FD9-9239-F432F4901D97}"/>
    <cellStyle name="Normal 8 2 4 6" xfId="5917" xr:uid="{00000000-0005-0000-0000-0000DF120000}"/>
    <cellStyle name="Normal 8 2 4 6 2" xfId="8742" xr:uid="{0743F2F5-F795-4784-8C8B-6B7581039242}"/>
    <cellStyle name="Normal 8 2 4 7" xfId="6135" xr:uid="{00000000-0005-0000-0000-0000E0120000}"/>
    <cellStyle name="Normal 8 2 4 7 2" xfId="8925" xr:uid="{4820D691-AB34-4526-B4C5-6FDA2288D5D5}"/>
    <cellStyle name="Normal 8 2 4 8" xfId="6543" xr:uid="{D9B62EB2-52B5-4825-A26E-D21D1FD6457F}"/>
    <cellStyle name="Normal 8 2 5" xfId="2939" xr:uid="{00000000-0005-0000-0000-0000E1120000}"/>
    <cellStyle name="Normal 8 2 5 2" xfId="4339" xr:uid="{00000000-0005-0000-0000-0000E2120000}"/>
    <cellStyle name="Normal 8 2 5 2 2" xfId="7566" xr:uid="{2147C256-1F28-41EB-9529-F4C378131FDF}"/>
    <cellStyle name="Normal 8 2 5 3" xfId="6975" xr:uid="{E66FC478-10AC-46AF-9115-494EEE1CDE18}"/>
    <cellStyle name="Normal 8 2 6" xfId="3987" xr:uid="{00000000-0005-0000-0000-0000E3120000}"/>
    <cellStyle name="Normal 8 2 6 2" xfId="7291" xr:uid="{88FBBC8E-333D-4601-BC1D-220C744F1216}"/>
    <cellStyle name="Normal 8 2 7" xfId="4218" xr:uid="{00000000-0005-0000-0000-0000E4120000}"/>
    <cellStyle name="Normal 8 2 7 2" xfId="7445" xr:uid="{2E130879-DD64-438E-A18D-0269AA1E9276}"/>
    <cellStyle name="Normal 8 2 8" xfId="5032" xr:uid="{00000000-0005-0000-0000-0000E5120000}"/>
    <cellStyle name="Normal 8 2 8 2" xfId="7999" xr:uid="{CF752CB3-7DD6-4566-9943-96B5DB6C1BD7}"/>
    <cellStyle name="Normal 8 2 9" xfId="5258" xr:uid="{00000000-0005-0000-0000-0000E6120000}"/>
    <cellStyle name="Normal 8 2 9 2" xfId="8180" xr:uid="{0CF05C53-1649-462D-A05F-FF4A43084AFE}"/>
    <cellStyle name="Normal 8 3" xfId="475" xr:uid="{00000000-0005-0000-0000-0000E7120000}"/>
    <cellStyle name="Normal 8 3 10" xfId="5918" xr:uid="{00000000-0005-0000-0000-0000E8120000}"/>
    <cellStyle name="Normal 8 3 10 2" xfId="8743" xr:uid="{FA4119A1-6840-466B-8669-5B486144B5E8}"/>
    <cellStyle name="Normal 8 3 11" xfId="6136" xr:uid="{00000000-0005-0000-0000-0000E9120000}"/>
    <cellStyle name="Normal 8 3 11 2" xfId="8926" xr:uid="{8D3D4101-8956-4DE3-BA08-7090E68659D7}"/>
    <cellStyle name="Normal 8 3 12" xfId="6268" xr:uid="{B5795BFF-1163-499C-8737-6BC86C8B1983}"/>
    <cellStyle name="Normal 8 3 2" xfId="476" xr:uid="{00000000-0005-0000-0000-0000EA120000}"/>
    <cellStyle name="Normal 8 3 2 2" xfId="3452" xr:uid="{00000000-0005-0000-0000-0000EB120000}"/>
    <cellStyle name="Normal 8 3 2 2 2" xfId="4415" xr:uid="{00000000-0005-0000-0000-0000EC120000}"/>
    <cellStyle name="Normal 8 3 2 2 2 2" xfId="7642" xr:uid="{ABFAAA40-8F9B-4679-9170-743F0A6C8F1A}"/>
    <cellStyle name="Normal 8 3 2 2 3" xfId="5200" xr:uid="{00000000-0005-0000-0000-0000ED120000}"/>
    <cellStyle name="Normal 8 3 2 2 3 2" xfId="8147" xr:uid="{A3CBCFE9-865C-4E0A-B0DC-F0197B01FF1E}"/>
    <cellStyle name="Normal 8 3 2 2 4" xfId="5391" xr:uid="{00000000-0005-0000-0000-0000EE120000}"/>
    <cellStyle name="Normal 8 3 2 2 4 2" xfId="8313" xr:uid="{A69A3E89-B226-4A51-8C6D-E1589025DFFA}"/>
    <cellStyle name="Normal 8 3 2 2 5" xfId="7061" xr:uid="{4A6227FA-0EC7-427D-A886-7E02DA2281CC}"/>
    <cellStyle name="Normal 8 3 2 3" xfId="4063" xr:uid="{00000000-0005-0000-0000-0000EF120000}"/>
    <cellStyle name="Normal 8 3 2 3 2" xfId="7367" xr:uid="{6FD52949-C712-4D89-A83B-676509081994}"/>
    <cellStyle name="Normal 8 3 2 4" xfId="4294" xr:uid="{00000000-0005-0000-0000-0000F0120000}"/>
    <cellStyle name="Normal 8 3 2 4 2" xfId="7521" xr:uid="{F774FA9B-A9B8-4EE8-8228-0F646B122615}"/>
    <cellStyle name="Normal 8 3 2 5" xfId="5118" xr:uid="{00000000-0005-0000-0000-0000F1120000}"/>
    <cellStyle name="Normal 8 3 2 5 2" xfId="8075" xr:uid="{1D47670A-4D62-44C4-9787-FF3D0D4631F7}"/>
    <cellStyle name="Normal 8 3 2 6" xfId="5316" xr:uid="{00000000-0005-0000-0000-0000F2120000}"/>
    <cellStyle name="Normal 8 3 2 6 2" xfId="8238" xr:uid="{EE9E28B8-71E8-4F39-A602-BB80F5E4100E}"/>
    <cellStyle name="Normal 8 3 2 7" xfId="748" xr:uid="{00000000-0005-0000-0000-0000F3120000}"/>
    <cellStyle name="Normal 8 3 2 7 2" xfId="6411" xr:uid="{3666A346-EEEB-4F8C-B21B-2C5D8CE0CCA4}"/>
    <cellStyle name="Normal 8 3 2 8" xfId="6269" xr:uid="{C1896BED-4B53-4DD8-8608-4E72C57C1F95}"/>
    <cellStyle name="Normal 8 3 3" xfId="1753" xr:uid="{00000000-0005-0000-0000-0000F4120000}"/>
    <cellStyle name="Normal 8 3 3 2" xfId="4062" xr:uid="{00000000-0005-0000-0000-0000F5120000}"/>
    <cellStyle name="Normal 8 3 3 2 2" xfId="4414" xr:uid="{00000000-0005-0000-0000-0000F6120000}"/>
    <cellStyle name="Normal 8 3 3 2 2 2" xfId="7641" xr:uid="{C582DF85-A76C-4888-9F17-B15D94E2C4DF}"/>
    <cellStyle name="Normal 8 3 3 2 3" xfId="7366" xr:uid="{831DBAC3-E215-4071-B323-95E746541F40}"/>
    <cellStyle name="Normal 8 3 3 3" xfId="4293" xr:uid="{00000000-0005-0000-0000-0000F7120000}"/>
    <cellStyle name="Normal 8 3 3 3 2" xfId="7520" xr:uid="{B334FEAA-31E7-46C1-9B94-CC57BC5190FA}"/>
    <cellStyle name="Normal 8 3 3 4" xfId="5117" xr:uid="{00000000-0005-0000-0000-0000F8120000}"/>
    <cellStyle name="Normal 8 3 3 4 2" xfId="8074" xr:uid="{0993E88B-F018-4F7E-93ED-0572FF9FAF27}"/>
    <cellStyle name="Normal 8 3 3 5" xfId="5390" xr:uid="{00000000-0005-0000-0000-0000F9120000}"/>
    <cellStyle name="Normal 8 3 3 5 2" xfId="8312" xr:uid="{F59BE00B-BD49-4C39-BA73-85B3B0563B09}"/>
    <cellStyle name="Normal 8 3 3 6" xfId="6545" xr:uid="{D6F1D472-EA34-4ADA-A213-8B2075BE1ECD}"/>
    <cellStyle name="Normal 8 3 4" xfId="2941" xr:uid="{00000000-0005-0000-0000-0000FA120000}"/>
    <cellStyle name="Normal 8 3 4 2" xfId="4341" xr:uid="{00000000-0005-0000-0000-0000FB120000}"/>
    <cellStyle name="Normal 8 3 4 2 2" xfId="7568" xr:uid="{AE3499E9-9B77-4C5C-9126-2EED7C4698FE}"/>
    <cellStyle name="Normal 8 3 4 3" xfId="6977" xr:uid="{CB8AADD8-4864-485E-A808-1EE520FEA70F}"/>
    <cellStyle name="Normal 8 3 5" xfId="3989" xr:uid="{00000000-0005-0000-0000-0000FC120000}"/>
    <cellStyle name="Normal 8 3 5 2" xfId="7293" xr:uid="{0DE7FA4A-A784-4C86-89DB-B15C5849485B}"/>
    <cellStyle name="Normal 8 3 6" xfId="4220" xr:uid="{00000000-0005-0000-0000-0000FD120000}"/>
    <cellStyle name="Normal 8 3 6 2" xfId="7447" xr:uid="{7F126302-44EC-49C5-9998-E55EE88F1F83}"/>
    <cellStyle name="Normal 8 3 7" xfId="5034" xr:uid="{00000000-0005-0000-0000-0000FE120000}"/>
    <cellStyle name="Normal 8 3 7 2" xfId="8001" xr:uid="{5BE8864D-3FA7-448A-9DBE-EE04E443CB9B}"/>
    <cellStyle name="Normal 8 3 8" xfId="5279" xr:uid="{00000000-0005-0000-0000-0000FF120000}"/>
    <cellStyle name="Normal 8 3 8 2" xfId="8201" xr:uid="{C3E5F163-3ADA-4A8A-AEEB-46BAE62FD6EC}"/>
    <cellStyle name="Normal 8 3 9" xfId="708" xr:uid="{00000000-0005-0000-0000-000000130000}"/>
    <cellStyle name="Normal 8 3 9 2" xfId="6374" xr:uid="{70CDB957-5569-42CB-AD11-9D1E3D6E2617}"/>
    <cellStyle name="Normal 8 4" xfId="477" xr:uid="{00000000-0005-0000-0000-000001130000}"/>
    <cellStyle name="Normal 8 4 2" xfId="3454" xr:uid="{00000000-0005-0000-0000-000002130000}"/>
    <cellStyle name="Normal 8 4 2 2" xfId="3836" xr:uid="{00000000-0005-0000-0000-000003130000}"/>
    <cellStyle name="Normal 8 4 2 2 2" xfId="4416" xr:uid="{00000000-0005-0000-0000-000004130000}"/>
    <cellStyle name="Normal 8 4 2 2 2 2" xfId="7643" xr:uid="{82627B4B-B42F-49AF-9E67-30989E5BB3FF}"/>
    <cellStyle name="Normal 8 4 2 2 3" xfId="7246" xr:uid="{7DA57247-3F0B-4975-BA89-7236DE6A9F86}"/>
    <cellStyle name="Normal 8 4 2 3" xfId="4064" xr:uid="{00000000-0005-0000-0000-000005130000}"/>
    <cellStyle name="Normal 8 4 2 3 2" xfId="7368" xr:uid="{8D55861C-15E7-47E1-B654-1DE78ACB6E4A}"/>
    <cellStyle name="Normal 8 4 2 4" xfId="4295" xr:uid="{00000000-0005-0000-0000-000006130000}"/>
    <cellStyle name="Normal 8 4 2 4 2" xfId="7522" xr:uid="{FB768F85-5CA6-4FCA-A168-FC4A40595DB3}"/>
    <cellStyle name="Normal 8 4 2 5" xfId="4989" xr:uid="{00000000-0005-0000-0000-000007130000}"/>
    <cellStyle name="Normal 8 4 2 5 2" xfId="7966" xr:uid="{4334B1CF-57BC-4FFD-B767-09FB345B5E79}"/>
    <cellStyle name="Normal 8 4 2 6" xfId="5392" xr:uid="{00000000-0005-0000-0000-000008130000}"/>
    <cellStyle name="Normal 8 4 2 6 2" xfId="8314" xr:uid="{5737B253-505E-4253-84B1-18766707A0AF}"/>
    <cellStyle name="Normal 8 4 2 7" xfId="7062" xr:uid="{3D48305C-9704-4976-A594-F715452DDFD7}"/>
    <cellStyle name="Normal 8 4 3" xfId="3453" xr:uid="{00000000-0005-0000-0000-000009130000}"/>
    <cellStyle name="Normal 8 4 4" xfId="4801" xr:uid="{00000000-0005-0000-0000-00000A130000}"/>
    <cellStyle name="Normal 8 4 4 2" xfId="5313" xr:uid="{00000000-0005-0000-0000-00000B130000}"/>
    <cellStyle name="Normal 8 4 4 2 2" xfId="8235" xr:uid="{340FE174-C2DD-432A-8565-3134A06335C1}"/>
    <cellStyle name="Normal 8 4 5" xfId="745" xr:uid="{00000000-0005-0000-0000-00000C130000}"/>
    <cellStyle name="Normal 8 4 5 2" xfId="6408" xr:uid="{E452A7B5-68E5-41A7-B2C9-043547D58C7F}"/>
    <cellStyle name="Normal 8 4 6" xfId="5919" xr:uid="{00000000-0005-0000-0000-00000D130000}"/>
    <cellStyle name="Normal 8 4 6 2" xfId="8744" xr:uid="{9B503791-BF2B-498D-B148-52D01DAF3F82}"/>
    <cellStyle name="Normal 8 4 7" xfId="6137" xr:uid="{00000000-0005-0000-0000-00000E130000}"/>
    <cellStyle name="Normal 8 4 7 2" xfId="8927" xr:uid="{1D545D12-48F1-45D3-AE12-6E2DEBF71253}"/>
    <cellStyle name="Normal 8 4 8" xfId="6270" xr:uid="{48E91274-0CC8-4575-8DA5-BC0228E1309D}"/>
    <cellStyle name="Normal 8 5" xfId="1750" xr:uid="{00000000-0005-0000-0000-00000F130000}"/>
    <cellStyle name="Normal 8 5 2" xfId="4057" xr:uid="{00000000-0005-0000-0000-000010130000}"/>
    <cellStyle name="Normal 8 5 2 2" xfId="4409" xr:uid="{00000000-0005-0000-0000-000011130000}"/>
    <cellStyle name="Normal 8 5 2 2 2" xfId="7636" xr:uid="{57A111A5-3581-4236-993D-6A42594ED074}"/>
    <cellStyle name="Normal 8 5 2 3" xfId="7361" xr:uid="{5E82319D-1369-4CF4-8A83-6E899CB5C6FA}"/>
    <cellStyle name="Normal 8 5 3" xfId="4288" xr:uid="{00000000-0005-0000-0000-000012130000}"/>
    <cellStyle name="Normal 8 5 3 2" xfId="7515" xr:uid="{A7847AF3-ED91-4939-84A9-B16B30FEBE71}"/>
    <cellStyle name="Normal 8 5 4" xfId="5112" xr:uid="{00000000-0005-0000-0000-000013130000}"/>
    <cellStyle name="Normal 8 5 4 2" xfId="8069" xr:uid="{46059C6D-E957-40A4-8830-CA15DDFC89FB}"/>
    <cellStyle name="Normal 8 5 5" xfId="5385" xr:uid="{00000000-0005-0000-0000-000014130000}"/>
    <cellStyle name="Normal 8 5 5 2" xfId="8307" xr:uid="{C713C798-0B86-458B-AF6A-6F30C92546F2}"/>
    <cellStyle name="Normal 8 5 6" xfId="5920" xr:uid="{00000000-0005-0000-0000-000015130000}"/>
    <cellStyle name="Normal 8 5 6 2" xfId="8745" xr:uid="{D87178AF-36DC-4CEC-9601-74847C74B9D4}"/>
    <cellStyle name="Normal 8 5 7" xfId="6138" xr:uid="{00000000-0005-0000-0000-000016130000}"/>
    <cellStyle name="Normal 8 5 7 2" xfId="8928" xr:uid="{19693819-E6B0-4814-8838-3E8D24C15E81}"/>
    <cellStyle name="Normal 8 5 8" xfId="6542" xr:uid="{D27B7E7C-0656-4D46-A9B1-479592152069}"/>
    <cellStyle name="Normal 8 6" xfId="2938" xr:uid="{00000000-0005-0000-0000-000017130000}"/>
    <cellStyle name="Normal 8 6 2" xfId="4338" xr:uid="{00000000-0005-0000-0000-000018130000}"/>
    <cellStyle name="Normal 8 6 2 2" xfId="7565" xr:uid="{88B5B1A3-3FA7-47B0-91C1-A6806F7B61FF}"/>
    <cellStyle name="Normal 8 6 3" xfId="6974" xr:uid="{72F8BB38-25A7-4579-BAEF-16A9EC5C4238}"/>
    <cellStyle name="Normal 8 7" xfId="2619" xr:uid="{00000000-0005-0000-0000-000019130000}"/>
    <cellStyle name="Normal 8 7 2" xfId="3986" xr:uid="{00000000-0005-0000-0000-00001A130000}"/>
    <cellStyle name="Normal 8 7 2 2" xfId="7290" xr:uid="{1BCFA6AB-AE4A-4668-9734-78787867B3A3}"/>
    <cellStyle name="Normal 8 8" xfId="4217" xr:uid="{00000000-0005-0000-0000-00001B130000}"/>
    <cellStyle name="Normal 8 8 2" xfId="7444" xr:uid="{58324EEF-61D0-40D8-91CC-1D6D97A1E14A}"/>
    <cellStyle name="Normal 8 9" xfId="5031" xr:uid="{00000000-0005-0000-0000-00001C130000}"/>
    <cellStyle name="Normal 8 9 2" xfId="7998" xr:uid="{91BBBEF3-1250-485D-B2AE-9B762848F6F5}"/>
    <cellStyle name="Normal 9" xfId="478" xr:uid="{00000000-0005-0000-0000-00001D130000}"/>
    <cellStyle name="Normal 9 10" xfId="5248" xr:uid="{00000000-0005-0000-0000-00001E130000}"/>
    <cellStyle name="Normal 9 10 2" xfId="8170" xr:uid="{D16841D0-5071-4A52-AB14-991DC09D840F}"/>
    <cellStyle name="Normal 9 11" xfId="637" xr:uid="{00000000-0005-0000-0000-00001F130000}"/>
    <cellStyle name="Normal 9 11 2" xfId="6323" xr:uid="{10C07B16-2113-4A5D-B371-63E1BD185292}"/>
    <cellStyle name="Normal 9 12" xfId="5921" xr:uid="{00000000-0005-0000-0000-000020130000}"/>
    <cellStyle name="Normal 9 12 2" xfId="8746" xr:uid="{3C4C2DCE-D3A3-4B42-97AD-ADA9092325D1}"/>
    <cellStyle name="Normal 9 13" xfId="6139" xr:uid="{00000000-0005-0000-0000-000021130000}"/>
    <cellStyle name="Normal 9 13 2" xfId="8929" xr:uid="{596786F2-8A98-42FE-AF9F-F437A7C05D1E}"/>
    <cellStyle name="Normal 9 14" xfId="6271" xr:uid="{11284A0A-BF28-4648-BB18-9F5E025D5A3D}"/>
    <cellStyle name="Normal 9 2" xfId="479" xr:uid="{00000000-0005-0000-0000-000022130000}"/>
    <cellStyle name="Normal 9 2 10" xfId="687" xr:uid="{00000000-0005-0000-0000-000023130000}"/>
    <cellStyle name="Normal 9 2 10 2" xfId="6354" xr:uid="{D84D5A26-9F6B-41A7-8065-FA2BD5F87B90}"/>
    <cellStyle name="Normal 9 2 11" xfId="5922" xr:uid="{00000000-0005-0000-0000-000024130000}"/>
    <cellStyle name="Normal 9 2 11 2" xfId="8747" xr:uid="{77DC2DCE-85FF-4A95-9921-037D0E56E57A}"/>
    <cellStyle name="Normal 9 2 12" xfId="6140" xr:uid="{00000000-0005-0000-0000-000025130000}"/>
    <cellStyle name="Normal 9 2 12 2" xfId="8930" xr:uid="{FADB9B9D-7DBB-4E37-AF98-0478A7AB1C37}"/>
    <cellStyle name="Normal 9 2 13" xfId="6272" xr:uid="{01762C6C-EF2C-4848-A509-35BE23BC2D07}"/>
    <cellStyle name="Normal 9 2 2" xfId="480" xr:uid="{00000000-0005-0000-0000-000026130000}"/>
    <cellStyle name="Normal 9 2 2 10" xfId="5923" xr:uid="{00000000-0005-0000-0000-000027130000}"/>
    <cellStyle name="Normal 9 2 2 10 2" xfId="8748" xr:uid="{552C9D4E-8CB4-46FC-97DF-D6CFE781B77F}"/>
    <cellStyle name="Normal 9 2 2 11" xfId="6141" xr:uid="{00000000-0005-0000-0000-000028130000}"/>
    <cellStyle name="Normal 9 2 2 11 2" xfId="8931" xr:uid="{3B42E948-C561-4A8A-BD60-0BB4D6E58D49}"/>
    <cellStyle name="Normal 9 2 2 12" xfId="6273" xr:uid="{BF7CE257-D3FF-4867-834C-375EB316D47D}"/>
    <cellStyle name="Normal 9 2 2 2" xfId="481" xr:uid="{00000000-0005-0000-0000-000029130000}"/>
    <cellStyle name="Normal 9 2 2 2 2" xfId="3456" xr:uid="{00000000-0005-0000-0000-00002A130000}"/>
    <cellStyle name="Normal 9 2 2 2 2 2" xfId="4420" xr:uid="{00000000-0005-0000-0000-00002B130000}"/>
    <cellStyle name="Normal 9 2 2 2 2 2 2" xfId="7647" xr:uid="{E1212A34-6643-4023-80EE-4457CD173DD2}"/>
    <cellStyle name="Normal 9 2 2 2 2 3" xfId="5201" xr:uid="{00000000-0005-0000-0000-00002C130000}"/>
    <cellStyle name="Normal 9 2 2 2 2 3 2" xfId="8148" xr:uid="{2467E361-AFB6-4EDF-A3C8-88877F1E4076}"/>
    <cellStyle name="Normal 9 2 2 2 2 4" xfId="5396" xr:uid="{00000000-0005-0000-0000-00002D130000}"/>
    <cellStyle name="Normal 9 2 2 2 2 4 2" xfId="8318" xr:uid="{685A6CFE-5818-4CD8-B707-EAA900B79B58}"/>
    <cellStyle name="Normal 9 2 2 2 2 5" xfId="7064" xr:uid="{4DF68193-E73C-4B57-89FE-9B53D23933F7}"/>
    <cellStyle name="Normal 9 2 2 2 3" xfId="4068" xr:uid="{00000000-0005-0000-0000-00002E130000}"/>
    <cellStyle name="Normal 9 2 2 2 3 2" xfId="7372" xr:uid="{9FAF3B56-07B7-45BB-87B6-97E7B55EB3A7}"/>
    <cellStyle name="Normal 9 2 2 2 4" xfId="4299" xr:uid="{00000000-0005-0000-0000-00002F130000}"/>
    <cellStyle name="Normal 9 2 2 2 4 2" xfId="7526" xr:uid="{D0FE0BA8-BD99-4F26-BC01-9B29273A2E41}"/>
    <cellStyle name="Normal 9 2 2 2 5" xfId="5123" xr:uid="{00000000-0005-0000-0000-000030130000}"/>
    <cellStyle name="Normal 9 2 2 2 5 2" xfId="8080" xr:uid="{39F249C6-0C8F-449D-82FD-F3313D1729ED}"/>
    <cellStyle name="Normal 9 2 2 2 6" xfId="5319" xr:uid="{00000000-0005-0000-0000-000031130000}"/>
    <cellStyle name="Normal 9 2 2 2 6 2" xfId="8241" xr:uid="{A7511F63-5B48-45AC-9797-D13D6C65164A}"/>
    <cellStyle name="Normal 9 2 2 2 7" xfId="751" xr:uid="{00000000-0005-0000-0000-000032130000}"/>
    <cellStyle name="Normal 9 2 2 2 7 2" xfId="6414" xr:uid="{0A897F1E-D272-4BAC-9C1C-5514E4EB52E8}"/>
    <cellStyle name="Normal 9 2 2 2 8" xfId="6274" xr:uid="{8A65E2DB-42BB-4CE5-B29A-1B2923D6DE4E}"/>
    <cellStyle name="Normal 9 2 2 3" xfId="1756" xr:uid="{00000000-0005-0000-0000-000033130000}"/>
    <cellStyle name="Normal 9 2 2 3 2" xfId="4067" xr:uid="{00000000-0005-0000-0000-000034130000}"/>
    <cellStyle name="Normal 9 2 2 3 2 2" xfId="4419" xr:uid="{00000000-0005-0000-0000-000035130000}"/>
    <cellStyle name="Normal 9 2 2 3 2 2 2" xfId="7646" xr:uid="{DED4AAEA-AF4C-451D-ACE2-C4433277C354}"/>
    <cellStyle name="Normal 9 2 2 3 2 3" xfId="7371" xr:uid="{AE2C515D-F96A-4F50-AE37-D37B9DFD0AB2}"/>
    <cellStyle name="Normal 9 2 2 3 3" xfId="4298" xr:uid="{00000000-0005-0000-0000-000036130000}"/>
    <cellStyle name="Normal 9 2 2 3 3 2" xfId="7525" xr:uid="{2566C9D9-DD0F-4488-BB35-15E0FB16C908}"/>
    <cellStyle name="Normal 9 2 2 3 4" xfId="5122" xr:uid="{00000000-0005-0000-0000-000037130000}"/>
    <cellStyle name="Normal 9 2 2 3 4 2" xfId="8079" xr:uid="{1E552FEF-5141-4617-B782-4AE981BE7B35}"/>
    <cellStyle name="Normal 9 2 2 3 5" xfId="5395" xr:uid="{00000000-0005-0000-0000-000038130000}"/>
    <cellStyle name="Normal 9 2 2 3 5 2" xfId="8317" xr:uid="{B04083F9-E92A-49E6-8322-AEE7D419D813}"/>
    <cellStyle name="Normal 9 2 2 3 6" xfId="6548" xr:uid="{58D24113-3129-4F5C-924E-FF3D8C945CD3}"/>
    <cellStyle name="Normal 9 2 2 4" xfId="2944" xr:uid="{00000000-0005-0000-0000-000039130000}"/>
    <cellStyle name="Normal 9 2 2 4 2" xfId="4344" xr:uid="{00000000-0005-0000-0000-00003A130000}"/>
    <cellStyle name="Normal 9 2 2 4 2 2" xfId="7571" xr:uid="{53776BEB-0C24-4EE6-9944-2994DE8F6A65}"/>
    <cellStyle name="Normal 9 2 2 4 3" xfId="6980" xr:uid="{CCC1AF9D-5795-49DA-8408-1718215CD732}"/>
    <cellStyle name="Normal 9 2 2 5" xfId="3992" xr:uid="{00000000-0005-0000-0000-00003B130000}"/>
    <cellStyle name="Normal 9 2 2 5 2" xfId="7296" xr:uid="{D0FCD698-27EF-495D-B2C5-CE216DD14A96}"/>
    <cellStyle name="Normal 9 2 2 6" xfId="4223" xr:uid="{00000000-0005-0000-0000-00003C130000}"/>
    <cellStyle name="Normal 9 2 2 6 2" xfId="7450" xr:uid="{30FB268D-DF74-4E39-A297-4C0271C83335}"/>
    <cellStyle name="Normal 9 2 2 7" xfId="5037" xr:uid="{00000000-0005-0000-0000-00003D130000}"/>
    <cellStyle name="Normal 9 2 2 7 2" xfId="8004" xr:uid="{BA655090-5A08-4AF0-819B-D35CB6FB1E52}"/>
    <cellStyle name="Normal 9 2 2 8" xfId="5282" xr:uid="{00000000-0005-0000-0000-00003E130000}"/>
    <cellStyle name="Normal 9 2 2 8 2" xfId="8204" xr:uid="{3A25240F-ABFD-449D-9F35-53EA62FDB1A2}"/>
    <cellStyle name="Normal 9 2 2 9" xfId="711" xr:uid="{00000000-0005-0000-0000-00003F130000}"/>
    <cellStyle name="Normal 9 2 2 9 2" xfId="6377" xr:uid="{ADEDA0C8-A296-4D02-AC0B-826BD1469477}"/>
    <cellStyle name="Normal 9 2 3" xfId="482" xr:uid="{00000000-0005-0000-0000-000040130000}"/>
    <cellStyle name="Normal 9 2 3 10" xfId="6275" xr:uid="{321110F4-FEB0-4A1D-8357-E7C15789C728}"/>
    <cellStyle name="Normal 9 2 3 2" xfId="3457" xr:uid="{00000000-0005-0000-0000-000041130000}"/>
    <cellStyle name="Normal 9 2 3 2 2" xfId="4421" xr:uid="{00000000-0005-0000-0000-000042130000}"/>
    <cellStyle name="Normal 9 2 3 2 2 2" xfId="7648" xr:uid="{484B2D87-F944-4C91-B11C-900562A893CE}"/>
    <cellStyle name="Normal 9 2 3 2 3" xfId="5202" xr:uid="{00000000-0005-0000-0000-000043130000}"/>
    <cellStyle name="Normal 9 2 3 2 3 2" xfId="8149" xr:uid="{4EDE9065-51C2-4BBC-8E53-1F63C05AD23A}"/>
    <cellStyle name="Normal 9 2 3 2 4" xfId="5397" xr:uid="{00000000-0005-0000-0000-000044130000}"/>
    <cellStyle name="Normal 9 2 3 2 4 2" xfId="8319" xr:uid="{6F4E2EC5-1633-4B40-B301-98912E70F584}"/>
    <cellStyle name="Normal 9 2 3 2 5" xfId="7065" xr:uid="{B07A37B4-D4E4-4537-9A70-3BD52BD12697}"/>
    <cellStyle name="Normal 9 2 3 3" xfId="4069" xr:uid="{00000000-0005-0000-0000-000045130000}"/>
    <cellStyle name="Normal 9 2 3 3 2" xfId="7373" xr:uid="{913C3736-4464-41FF-B534-B2D912F98EF1}"/>
    <cellStyle name="Normal 9 2 3 4" xfId="4300" xr:uid="{00000000-0005-0000-0000-000046130000}"/>
    <cellStyle name="Normal 9 2 3 4 2" xfId="7527" xr:uid="{BF552AA2-8C2F-46DE-9476-7A53E642676F}"/>
    <cellStyle name="Normal 9 2 3 5" xfId="5124" xr:uid="{00000000-0005-0000-0000-000047130000}"/>
    <cellStyle name="Normal 9 2 3 5 2" xfId="8081" xr:uid="{CB65026E-BB1C-40D0-BF45-92895FBA66F5}"/>
    <cellStyle name="Normal 9 2 3 6" xfId="5318" xr:uid="{00000000-0005-0000-0000-000048130000}"/>
    <cellStyle name="Normal 9 2 3 6 2" xfId="8240" xr:uid="{A9CA10B3-BCC8-4144-A0CE-3F71EC9BE6AD}"/>
    <cellStyle name="Normal 9 2 3 7" xfId="750" xr:uid="{00000000-0005-0000-0000-000049130000}"/>
    <cellStyle name="Normal 9 2 3 7 2" xfId="6413" xr:uid="{11CAB38B-2104-4729-8328-575F823C5C2D}"/>
    <cellStyle name="Normal 9 2 3 8" xfId="5924" xr:uid="{00000000-0005-0000-0000-00004A130000}"/>
    <cellStyle name="Normal 9 2 3 8 2" xfId="8749" xr:uid="{D2EA8DF0-B76A-4BF2-89A6-C76E72E1609E}"/>
    <cellStyle name="Normal 9 2 3 9" xfId="6142" xr:uid="{00000000-0005-0000-0000-00004B130000}"/>
    <cellStyle name="Normal 9 2 3 9 2" xfId="8932" xr:uid="{EA12DA12-60F0-47EF-9781-9B574B09EFE5}"/>
    <cellStyle name="Normal 9 2 4" xfId="1755" xr:uid="{00000000-0005-0000-0000-00004C130000}"/>
    <cellStyle name="Normal 9 2 4 2" xfId="4066" xr:uid="{00000000-0005-0000-0000-00004D130000}"/>
    <cellStyle name="Normal 9 2 4 2 2" xfId="4418" xr:uid="{00000000-0005-0000-0000-00004E130000}"/>
    <cellStyle name="Normal 9 2 4 2 2 2" xfId="7645" xr:uid="{28EE46D7-3244-455F-ABFE-5FFDCC18BF1A}"/>
    <cellStyle name="Normal 9 2 4 2 3" xfId="7370" xr:uid="{B558B9D2-EB43-4721-993E-E5B59F3DB480}"/>
    <cellStyle name="Normal 9 2 4 3" xfId="4297" xr:uid="{00000000-0005-0000-0000-00004F130000}"/>
    <cellStyle name="Normal 9 2 4 3 2" xfId="7524" xr:uid="{E5147378-4462-41D6-8B0A-2304ADB82851}"/>
    <cellStyle name="Normal 9 2 4 4" xfId="5121" xr:uid="{00000000-0005-0000-0000-000050130000}"/>
    <cellStyle name="Normal 9 2 4 4 2" xfId="8078" xr:uid="{3CB5348C-D5DB-4BFD-A461-34087D026CC2}"/>
    <cellStyle name="Normal 9 2 4 5" xfId="5394" xr:uid="{00000000-0005-0000-0000-000051130000}"/>
    <cellStyle name="Normal 9 2 4 5 2" xfId="8316" xr:uid="{D75C3F84-F099-4235-AAAB-A165E70874A4}"/>
    <cellStyle name="Normal 9 2 4 6" xfId="5925" xr:uid="{00000000-0005-0000-0000-000052130000}"/>
    <cellStyle name="Normal 9 2 4 6 2" xfId="8750" xr:uid="{2836C5A2-E523-40E2-A79C-02BD622C8799}"/>
    <cellStyle name="Normal 9 2 4 7" xfId="6143" xr:uid="{00000000-0005-0000-0000-000053130000}"/>
    <cellStyle name="Normal 9 2 4 7 2" xfId="8933" xr:uid="{6CD9435B-F33F-40AB-808C-1927BDDAA30F}"/>
    <cellStyle name="Normal 9 2 4 8" xfId="6547" xr:uid="{FF6A7FAC-5401-4232-91CD-77F08413D49A}"/>
    <cellStyle name="Normal 9 2 5" xfId="2943" xr:uid="{00000000-0005-0000-0000-000054130000}"/>
    <cellStyle name="Normal 9 2 5 2" xfId="4343" xr:uid="{00000000-0005-0000-0000-000055130000}"/>
    <cellStyle name="Normal 9 2 5 2 2" xfId="7570" xr:uid="{91D7284A-11A2-4C53-A7F6-797D1E7D19A1}"/>
    <cellStyle name="Normal 9 2 5 3" xfId="6979" xr:uid="{2D180B2D-7FBE-4925-859E-249C344822F6}"/>
    <cellStyle name="Normal 9 2 6" xfId="3991" xr:uid="{00000000-0005-0000-0000-000056130000}"/>
    <cellStyle name="Normal 9 2 6 2" xfId="7295" xr:uid="{41755AEE-3C1B-4A87-ACD6-A7F88543C87B}"/>
    <cellStyle name="Normal 9 2 7" xfId="4222" xr:uid="{00000000-0005-0000-0000-000057130000}"/>
    <cellStyle name="Normal 9 2 7 2" xfId="7449" xr:uid="{CF197915-71C4-45EC-B63F-B7F583B9154F}"/>
    <cellStyle name="Normal 9 2 8" xfId="5036" xr:uid="{00000000-0005-0000-0000-000058130000}"/>
    <cellStyle name="Normal 9 2 8 2" xfId="8003" xr:uid="{D5059BCB-2746-4D2E-8C88-807EFB76B075}"/>
    <cellStyle name="Normal 9 2 9" xfId="5259" xr:uid="{00000000-0005-0000-0000-000059130000}"/>
    <cellStyle name="Normal 9 2 9 2" xfId="8181" xr:uid="{88E46D58-26D3-4D2F-8AF1-1E8B62EF14CF}"/>
    <cellStyle name="Normal 9 3" xfId="483" xr:uid="{00000000-0005-0000-0000-00005A130000}"/>
    <cellStyle name="Normal 9 3 10" xfId="5926" xr:uid="{00000000-0005-0000-0000-00005B130000}"/>
    <cellStyle name="Normal 9 3 10 2" xfId="8751" xr:uid="{CEA07208-6DA0-49A7-81E7-8A5D6D904B23}"/>
    <cellStyle name="Normal 9 3 11" xfId="6144" xr:uid="{00000000-0005-0000-0000-00005C130000}"/>
    <cellStyle name="Normal 9 3 11 2" xfId="8934" xr:uid="{15BBC3A7-3ED7-48F5-B14A-6E56A94D66DA}"/>
    <cellStyle name="Normal 9 3 12" xfId="6276" xr:uid="{4A98148D-1767-429E-B4D0-9EE2F9F54DCC}"/>
    <cellStyle name="Normal 9 3 2" xfId="484" xr:uid="{00000000-0005-0000-0000-00005D130000}"/>
    <cellStyle name="Normal 9 3 2 2" xfId="3458" xr:uid="{00000000-0005-0000-0000-00005E130000}"/>
    <cellStyle name="Normal 9 3 2 2 2" xfId="4423" xr:uid="{00000000-0005-0000-0000-00005F130000}"/>
    <cellStyle name="Normal 9 3 2 2 2 2" xfId="7650" xr:uid="{C5D0DB33-472E-4392-9B58-164D403BD818}"/>
    <cellStyle name="Normal 9 3 2 2 3" xfId="5203" xr:uid="{00000000-0005-0000-0000-000060130000}"/>
    <cellStyle name="Normal 9 3 2 2 3 2" xfId="8150" xr:uid="{E88654EC-3285-42D0-BD5D-3FADAAED88DB}"/>
    <cellStyle name="Normal 9 3 2 2 4" xfId="5399" xr:uid="{00000000-0005-0000-0000-000061130000}"/>
    <cellStyle name="Normal 9 3 2 2 4 2" xfId="8321" xr:uid="{77F73573-B803-471E-9023-C41DF7518276}"/>
    <cellStyle name="Normal 9 3 2 2 5" xfId="7066" xr:uid="{0F403E84-B853-4D5B-A999-63FE266CBF78}"/>
    <cellStyle name="Normal 9 3 2 3" xfId="4071" xr:uid="{00000000-0005-0000-0000-000062130000}"/>
    <cellStyle name="Normal 9 3 2 3 2" xfId="7375" xr:uid="{FA826704-26B5-465A-922D-82A48EDBB5D3}"/>
    <cellStyle name="Normal 9 3 2 4" xfId="4302" xr:uid="{00000000-0005-0000-0000-000063130000}"/>
    <cellStyle name="Normal 9 3 2 4 2" xfId="7529" xr:uid="{549D2E80-13C5-4C06-8478-F31D09A90E43}"/>
    <cellStyle name="Normal 9 3 2 5" xfId="5126" xr:uid="{00000000-0005-0000-0000-000064130000}"/>
    <cellStyle name="Normal 9 3 2 5 2" xfId="8083" xr:uid="{C346D0E2-091B-4675-BD77-8124A907166A}"/>
    <cellStyle name="Normal 9 3 2 6" xfId="5320" xr:uid="{00000000-0005-0000-0000-000065130000}"/>
    <cellStyle name="Normal 9 3 2 6 2" xfId="8242" xr:uid="{A0823096-2D7C-4D22-B9CB-7C6DFE6B5D13}"/>
    <cellStyle name="Normal 9 3 2 7" xfId="752" xr:uid="{00000000-0005-0000-0000-000066130000}"/>
    <cellStyle name="Normal 9 3 2 7 2" xfId="6415" xr:uid="{0B94CF00-EE28-4470-A1C7-04B0B7573A09}"/>
    <cellStyle name="Normal 9 3 2 8" xfId="6277" xr:uid="{3103F2E4-68CD-48F1-97A0-AA8A09A1EF3F}"/>
    <cellStyle name="Normal 9 3 3" xfId="1757" xr:uid="{00000000-0005-0000-0000-000067130000}"/>
    <cellStyle name="Normal 9 3 3 2" xfId="4070" xr:uid="{00000000-0005-0000-0000-000068130000}"/>
    <cellStyle name="Normal 9 3 3 2 2" xfId="4422" xr:uid="{00000000-0005-0000-0000-000069130000}"/>
    <cellStyle name="Normal 9 3 3 2 2 2" xfId="7649" xr:uid="{BB0EEBDE-621F-496B-A8AB-C0D61AE98FE1}"/>
    <cellStyle name="Normal 9 3 3 2 3" xfId="7374" xr:uid="{4B4EFB71-6C30-4CCA-96B0-17443B069F93}"/>
    <cellStyle name="Normal 9 3 3 3" xfId="4301" xr:uid="{00000000-0005-0000-0000-00006A130000}"/>
    <cellStyle name="Normal 9 3 3 3 2" xfId="7528" xr:uid="{2A1970EB-443A-4AA2-BCE5-5F5AFDEFA864}"/>
    <cellStyle name="Normal 9 3 3 4" xfId="5125" xr:uid="{00000000-0005-0000-0000-00006B130000}"/>
    <cellStyle name="Normal 9 3 3 4 2" xfId="8082" xr:uid="{58512891-AC29-4F43-8879-DB4766462444}"/>
    <cellStyle name="Normal 9 3 3 5" xfId="5398" xr:uid="{00000000-0005-0000-0000-00006C130000}"/>
    <cellStyle name="Normal 9 3 3 5 2" xfId="8320" xr:uid="{70940EB7-85D1-4513-A6D6-CEB815C1AD8C}"/>
    <cellStyle name="Normal 9 3 3 6" xfId="6549" xr:uid="{C09E10E8-511D-43C8-8BE7-D148C0D068FD}"/>
    <cellStyle name="Normal 9 3 4" xfId="2945" xr:uid="{00000000-0005-0000-0000-00006D130000}"/>
    <cellStyle name="Normal 9 3 4 2" xfId="4345" xr:uid="{00000000-0005-0000-0000-00006E130000}"/>
    <cellStyle name="Normal 9 3 4 2 2" xfId="7572" xr:uid="{612A3EA5-3AF3-4EC6-BAA8-D00193C67E8B}"/>
    <cellStyle name="Normal 9 3 4 3" xfId="6981" xr:uid="{0F259D88-4BF9-48AF-96FC-A2C96B177F4B}"/>
    <cellStyle name="Normal 9 3 5" xfId="3993" xr:uid="{00000000-0005-0000-0000-00006F130000}"/>
    <cellStyle name="Normal 9 3 5 2" xfId="7297" xr:uid="{A3BEFBAD-E501-4FBC-B321-8CC75D3D4892}"/>
    <cellStyle name="Normal 9 3 6" xfId="4224" xr:uid="{00000000-0005-0000-0000-000070130000}"/>
    <cellStyle name="Normal 9 3 6 2" xfId="7451" xr:uid="{5E23F70D-44CB-4BB1-AA3D-601664E39A72}"/>
    <cellStyle name="Normal 9 3 7" xfId="5038" xr:uid="{00000000-0005-0000-0000-000071130000}"/>
    <cellStyle name="Normal 9 3 7 2" xfId="8005" xr:uid="{0DDE9790-FAA1-461E-853C-17C6796B303B}"/>
    <cellStyle name="Normal 9 3 8" xfId="5281" xr:uid="{00000000-0005-0000-0000-000072130000}"/>
    <cellStyle name="Normal 9 3 8 2" xfId="8203" xr:uid="{93259E6C-A088-4B3D-BB07-2B3B25E9A479}"/>
    <cellStyle name="Normal 9 3 9" xfId="710" xr:uid="{00000000-0005-0000-0000-000073130000}"/>
    <cellStyle name="Normal 9 3 9 2" xfId="6376" xr:uid="{D8D6D5A7-C8C5-415D-974E-95F256179840}"/>
    <cellStyle name="Normal 9 4" xfId="485" xr:uid="{00000000-0005-0000-0000-000074130000}"/>
    <cellStyle name="Normal 9 4 2" xfId="3460" xr:uid="{00000000-0005-0000-0000-000075130000}"/>
    <cellStyle name="Normal 9 4 2 2" xfId="3837" xr:uid="{00000000-0005-0000-0000-000076130000}"/>
    <cellStyle name="Normal 9 4 2 2 2" xfId="4424" xr:uid="{00000000-0005-0000-0000-000077130000}"/>
    <cellStyle name="Normal 9 4 2 2 2 2" xfId="7651" xr:uid="{12B9B972-A1B2-445B-90BA-897722966A63}"/>
    <cellStyle name="Normal 9 4 2 2 3" xfId="7247" xr:uid="{A05B691D-C2C2-4AC0-BF04-C49AC878AF19}"/>
    <cellStyle name="Normal 9 4 2 3" xfId="4072" xr:uid="{00000000-0005-0000-0000-000078130000}"/>
    <cellStyle name="Normal 9 4 2 3 2" xfId="7376" xr:uid="{6869E7BB-57B3-489C-B1E0-607381F6E865}"/>
    <cellStyle name="Normal 9 4 2 4" xfId="4303" xr:uid="{00000000-0005-0000-0000-000079130000}"/>
    <cellStyle name="Normal 9 4 2 4 2" xfId="7530" xr:uid="{DFEE6EBF-5880-4510-B620-97685F720EBB}"/>
    <cellStyle name="Normal 9 4 2 5" xfId="4992" xr:uid="{00000000-0005-0000-0000-00007A130000}"/>
    <cellStyle name="Normal 9 4 2 5 2" xfId="7967" xr:uid="{E4A7177C-FF6A-427D-B346-71B1A5040B14}"/>
    <cellStyle name="Normal 9 4 2 6" xfId="5400" xr:uid="{00000000-0005-0000-0000-00007B130000}"/>
    <cellStyle name="Normal 9 4 2 6 2" xfId="8322" xr:uid="{BC4FD0EF-C856-463C-8B62-37752A3ABB6F}"/>
    <cellStyle name="Normal 9 4 2 7" xfId="7067" xr:uid="{10F11361-589F-478A-B256-2131BBC58FAF}"/>
    <cellStyle name="Normal 9 4 3" xfId="3459" xr:uid="{00000000-0005-0000-0000-00007C130000}"/>
    <cellStyle name="Normal 9 4 4" xfId="4808" xr:uid="{00000000-0005-0000-0000-00007D130000}"/>
    <cellStyle name="Normal 9 4 4 2" xfId="5317" xr:uid="{00000000-0005-0000-0000-00007E130000}"/>
    <cellStyle name="Normal 9 4 4 2 2" xfId="8239" xr:uid="{582A9FA5-DFFF-46D7-AA1A-F60DE182D2B5}"/>
    <cellStyle name="Normal 9 4 5" xfId="4806" xr:uid="{00000000-0005-0000-0000-00007F130000}"/>
    <cellStyle name="Normal 9 4 5 2" xfId="7871" xr:uid="{1FFD8043-845A-414C-8ED2-CABC42084C88}"/>
    <cellStyle name="Normal 9 4 6" xfId="749" xr:uid="{00000000-0005-0000-0000-000080130000}"/>
    <cellStyle name="Normal 9 4 6 2" xfId="6412" xr:uid="{C15585CE-E3DC-4FD4-B23D-95C1592DC4BF}"/>
    <cellStyle name="Normal 9 4 7" xfId="5927" xr:uid="{00000000-0005-0000-0000-000081130000}"/>
    <cellStyle name="Normal 9 4 7 2" xfId="8752" xr:uid="{240C02AD-409A-4E6B-B72E-837BE59EDC00}"/>
    <cellStyle name="Normal 9 4 8" xfId="6145" xr:uid="{00000000-0005-0000-0000-000082130000}"/>
    <cellStyle name="Normal 9 4 8 2" xfId="8935" xr:uid="{A70AAE48-5E2F-4B15-862B-0DF3F07424C1}"/>
    <cellStyle name="Normal 9 4 9" xfId="6278" xr:uid="{A38A439D-5F24-4474-BC6A-A25382FDF2BF}"/>
    <cellStyle name="Normal 9 5" xfId="1754" xr:uid="{00000000-0005-0000-0000-000083130000}"/>
    <cellStyle name="Normal 9 5 2" xfId="4065" xr:uid="{00000000-0005-0000-0000-000084130000}"/>
    <cellStyle name="Normal 9 5 2 2" xfId="4417" xr:uid="{00000000-0005-0000-0000-000085130000}"/>
    <cellStyle name="Normal 9 5 2 2 2" xfId="7644" xr:uid="{0C5915FF-BFE5-43D3-A7B4-BE8D8231A121}"/>
    <cellStyle name="Normal 9 5 2 3" xfId="7369" xr:uid="{C8A86CB0-F833-4448-A185-9C0AB7C66C46}"/>
    <cellStyle name="Normal 9 5 3" xfId="4296" xr:uid="{00000000-0005-0000-0000-000086130000}"/>
    <cellStyle name="Normal 9 5 3 2" xfId="7523" xr:uid="{D4E3A64A-1681-4AAA-ADCE-B5BCFE8EF5E8}"/>
    <cellStyle name="Normal 9 5 4" xfId="5120" xr:uid="{00000000-0005-0000-0000-000087130000}"/>
    <cellStyle name="Normal 9 5 4 2" xfId="8077" xr:uid="{C71C7891-AA2A-467E-AFCA-DAC251597365}"/>
    <cellStyle name="Normal 9 5 5" xfId="5393" xr:uid="{00000000-0005-0000-0000-000088130000}"/>
    <cellStyle name="Normal 9 5 5 2" xfId="8315" xr:uid="{69399E65-C659-4753-9A30-B9DEB93C321D}"/>
    <cellStyle name="Normal 9 5 6" xfId="5928" xr:uid="{00000000-0005-0000-0000-000089130000}"/>
    <cellStyle name="Normal 9 5 6 2" xfId="8753" xr:uid="{6CCC2F7A-CA7A-4896-88F8-F903A95FF7AB}"/>
    <cellStyle name="Normal 9 5 7" xfId="6146" xr:uid="{00000000-0005-0000-0000-00008A130000}"/>
    <cellStyle name="Normal 9 5 7 2" xfId="8936" xr:uid="{FFC6E3D5-2853-421D-ACDF-8D1C9C12B56C}"/>
    <cellStyle name="Normal 9 5 8" xfId="6546" xr:uid="{556529CF-17F9-496A-9963-94B741B35640}"/>
    <cellStyle name="Normal 9 6" xfId="2942" xr:uid="{00000000-0005-0000-0000-00008B130000}"/>
    <cellStyle name="Normal 9 6 2" xfId="4342" xr:uid="{00000000-0005-0000-0000-00008C130000}"/>
    <cellStyle name="Normal 9 6 2 2" xfId="7569" xr:uid="{76231354-5FFE-4168-A7BF-BA5C8EC30113}"/>
    <cellStyle name="Normal 9 6 3" xfId="6978" xr:uid="{18277DB3-FF4A-4557-B861-6EB673C7B89E}"/>
    <cellStyle name="Normal 9 7" xfId="3990" xr:uid="{00000000-0005-0000-0000-00008D130000}"/>
    <cellStyle name="Normal 9 7 2" xfId="7294" xr:uid="{547347CB-A9FD-4C41-97EA-9DCBD9127A01}"/>
    <cellStyle name="Normal 9 8" xfId="4221" xr:uid="{00000000-0005-0000-0000-00008E130000}"/>
    <cellStyle name="Normal 9 8 2" xfId="7448" xr:uid="{FFA3BF4D-C3A9-46E2-994E-5D177B9E426E}"/>
    <cellStyle name="Normal 9 9" xfId="5035" xr:uid="{00000000-0005-0000-0000-00008F130000}"/>
    <cellStyle name="Normal 9 9 2" xfId="8002" xr:uid="{B0A78DCB-2C21-4D46-A5C2-9FCBCB508D68}"/>
    <cellStyle name="Normal_Hexagone VL 2009 12" xfId="8968" xr:uid="{08BB8165-4672-4435-AFBB-D4C42F722F77}"/>
    <cellStyle name="Normal_Hexagone VL 2009 12 2" xfId="6172" xr:uid="{4FF226C8-5D2C-45F4-BDEC-BEAFB4E42BAA}"/>
    <cellStyle name="Normal_STPI DC 99" xfId="8967" xr:uid="{14AA0481-E25B-45A8-A7FC-9EE8D90C802B}"/>
    <cellStyle name="Normale_irr" xfId="5929" xr:uid="{00000000-0005-0000-0000-000090130000}"/>
    <cellStyle name="Note 2" xfId="6186" xr:uid="{16463EE0-2161-4CEA-A146-04853C7D6DEA}"/>
    <cellStyle name="Number" xfId="1758" xr:uid="{00000000-0005-0000-0000-000092130000}"/>
    <cellStyle name="number 2" xfId="5930" xr:uid="{00000000-0005-0000-0000-000093130000}"/>
    <cellStyle name="Percent 2" xfId="5931" xr:uid="{00000000-0005-0000-0000-000094130000}"/>
    <cellStyle name="Percent 2 2" xfId="5932" xr:uid="{00000000-0005-0000-0000-000095130000}"/>
    <cellStyle name="Percent 2 3" xfId="6147" xr:uid="{00000000-0005-0000-0000-000096130000}"/>
    <cellStyle name="Percent 2 3 2" xfId="8937" xr:uid="{96DDCB14-F2AC-47A4-A3E7-2CE807FE940F}"/>
    <cellStyle name="Percent 2 4" xfId="8754" xr:uid="{D9D49C03-03AA-4D15-A9BD-49D5FFE77A59}"/>
    <cellStyle name="Percent 3" xfId="5933" xr:uid="{00000000-0005-0000-0000-000097130000}"/>
    <cellStyle name="Percent 4" xfId="5934" xr:uid="{00000000-0005-0000-0000-000098130000}"/>
    <cellStyle name="Percent 4 2" xfId="6148" xr:uid="{00000000-0005-0000-0000-000099130000}"/>
    <cellStyle name="Percent 4 2 2" xfId="8938" xr:uid="{A3CD2349-DE0F-421A-B886-FD31D9C3116D}"/>
    <cellStyle name="Percent 4 3" xfId="8755" xr:uid="{11C56453-9863-4877-A36F-13352B9826CB}"/>
    <cellStyle name="Percent_Division I" xfId="5935" xr:uid="{00000000-0005-0000-0000-00009A130000}"/>
    <cellStyle name="Pourcentage" xfId="486" builtinId="5"/>
    <cellStyle name="Pourcentage 10" xfId="1759" xr:uid="{00000000-0005-0000-0000-00009C130000}"/>
    <cellStyle name="Pourcentage 10 2" xfId="1760" xr:uid="{00000000-0005-0000-0000-00009D130000}"/>
    <cellStyle name="Pourcentage 10 2 2" xfId="3839" xr:uid="{00000000-0005-0000-0000-00009E130000}"/>
    <cellStyle name="Pourcentage 10 2 3" xfId="5147" xr:uid="{00000000-0005-0000-0000-00009F130000}"/>
    <cellStyle name="Pourcentage 10 2 3 2" xfId="8097" xr:uid="{1D8B9708-9E93-46F6-8AFA-FBA03C46A41F}"/>
    <cellStyle name="Pourcentage 10 3" xfId="3838" xr:uid="{00000000-0005-0000-0000-0000A0130000}"/>
    <cellStyle name="Pourcentage 10 3 2" xfId="4811" xr:uid="{00000000-0005-0000-0000-0000A1130000}"/>
    <cellStyle name="Pourcentage 10 3 3" xfId="4812" xr:uid="{00000000-0005-0000-0000-0000A2130000}"/>
    <cellStyle name="Pourcentage 10 3 4" xfId="4813" xr:uid="{00000000-0005-0000-0000-0000A3130000}"/>
    <cellStyle name="Pourcentage 10 3 5" xfId="4814" xr:uid="{00000000-0005-0000-0000-0000A4130000}"/>
    <cellStyle name="Pourcentage 10 3 6" xfId="4815" xr:uid="{00000000-0005-0000-0000-0000A5130000}"/>
    <cellStyle name="Pourcentage 10 3 7" xfId="4816" xr:uid="{00000000-0005-0000-0000-0000A6130000}"/>
    <cellStyle name="Pourcentage 10 3 8" xfId="4817" xr:uid="{00000000-0005-0000-0000-0000A7130000}"/>
    <cellStyle name="Pourcentage 10 3 9" xfId="4810" xr:uid="{00000000-0005-0000-0000-0000A8130000}"/>
    <cellStyle name="Pourcentage 10 4" xfId="2159" xr:uid="{00000000-0005-0000-0000-0000A9130000}"/>
    <cellStyle name="Pourcentage 10 4 2" xfId="4809" xr:uid="{00000000-0005-0000-0000-0000AA130000}"/>
    <cellStyle name="Pourcentage 10 4 3" xfId="6651" xr:uid="{27CA0347-6EC4-4012-81CE-FBDC8C8BBD97}"/>
    <cellStyle name="Pourcentage 10 5" xfId="5039" xr:uid="{00000000-0005-0000-0000-0000AB130000}"/>
    <cellStyle name="Pourcentage 10 5 2" xfId="8006" xr:uid="{0D34248C-A8EF-4E22-AB44-DCF349FF9AFC}"/>
    <cellStyle name="Pourcentage 10 6" xfId="5936" xr:uid="{00000000-0005-0000-0000-0000AC130000}"/>
    <cellStyle name="Pourcentage 10 6 2" xfId="8756" xr:uid="{11C0278D-E53A-446D-B478-C6C37EEC7A28}"/>
    <cellStyle name="Pourcentage 10 7" xfId="6149" xr:uid="{00000000-0005-0000-0000-0000AD130000}"/>
    <cellStyle name="Pourcentage 10 7 2" xfId="8939" xr:uid="{C54839D8-E6A7-426B-B5FB-2BC9460ABA43}"/>
    <cellStyle name="Pourcentage 11" xfId="1761" xr:uid="{00000000-0005-0000-0000-0000AE130000}"/>
    <cellStyle name="Pourcentage 11 2" xfId="3461" xr:uid="{00000000-0005-0000-0000-0000AF130000}"/>
    <cellStyle name="Pourcentage 11 2 2" xfId="5939" xr:uid="{00000000-0005-0000-0000-0000B0130000}"/>
    <cellStyle name="Pourcentage 11 2 2 2" xfId="6152" xr:uid="{00000000-0005-0000-0000-0000B1130000}"/>
    <cellStyle name="Pourcentage 11 2 2 2 2" xfId="8942" xr:uid="{B9B11463-6B53-4922-A6B0-0E116F8B90D9}"/>
    <cellStyle name="Pourcentage 11 2 2 3" xfId="8759" xr:uid="{5D3B6A62-4B81-4607-8FB5-EBEA266A0CA1}"/>
    <cellStyle name="Pourcentage 11 2 3" xfId="5938" xr:uid="{00000000-0005-0000-0000-0000B2130000}"/>
    <cellStyle name="Pourcentage 11 2 3 2" xfId="8758" xr:uid="{1B99A687-52ED-4701-B0E4-55C76B07B9E0}"/>
    <cellStyle name="Pourcentage 11 2 4" xfId="6151" xr:uid="{00000000-0005-0000-0000-0000B3130000}"/>
    <cellStyle name="Pourcentage 11 2 4 2" xfId="8941" xr:uid="{547167D5-4572-485B-8F67-7F5D4FF0E43A}"/>
    <cellStyle name="Pourcentage 11 3" xfId="4819" xr:uid="{00000000-0005-0000-0000-0000B4130000}"/>
    <cellStyle name="Pourcentage 11 4" xfId="4818" xr:uid="{00000000-0005-0000-0000-0000B5130000}"/>
    <cellStyle name="Pourcentage 11 5" xfId="5937" xr:uid="{00000000-0005-0000-0000-0000B6130000}"/>
    <cellStyle name="Pourcentage 11 5 2" xfId="8757" xr:uid="{8D6E48D6-A505-467D-A067-BD89ADFBF6D1}"/>
    <cellStyle name="Pourcentage 11 6" xfId="6150" xr:uid="{00000000-0005-0000-0000-0000B7130000}"/>
    <cellStyle name="Pourcentage 11 6 2" xfId="8940" xr:uid="{FEF227F3-46B2-434A-B750-6187137BCDFD}"/>
    <cellStyle name="Pourcentage 12" xfId="3547" xr:uid="{00000000-0005-0000-0000-0000B8130000}"/>
    <cellStyle name="Pourcentage 12 2" xfId="3849" xr:uid="{00000000-0005-0000-0000-0000B9130000}"/>
    <cellStyle name="Pourcentage 12 3" xfId="5940" xr:uid="{00000000-0005-0000-0000-0000BA130000}"/>
    <cellStyle name="Pourcentage 12 3 2" xfId="8760" xr:uid="{709665A9-CCA5-41FD-90C2-576A62C4A1B0}"/>
    <cellStyle name="Pourcentage 12 4" xfId="6153" xr:uid="{00000000-0005-0000-0000-0000BB130000}"/>
    <cellStyle name="Pourcentage 12 4 2" xfId="8943" xr:uid="{1314EA88-9138-4366-B895-77BCF1ABFAFA}"/>
    <cellStyle name="Pourcentage 13" xfId="2946" xr:uid="{00000000-0005-0000-0000-0000BC130000}"/>
    <cellStyle name="Pourcentage 13 2" xfId="5941" xr:uid="{00000000-0005-0000-0000-0000BD130000}"/>
    <cellStyle name="Pourcentage 14" xfId="3604" xr:uid="{00000000-0005-0000-0000-0000BE130000}"/>
    <cellStyle name="Pourcentage 14 2" xfId="2557" xr:uid="{00000000-0005-0000-0000-0000BF130000}"/>
    <cellStyle name="Pourcentage 14 3" xfId="7105" xr:uid="{2B3F5DAD-9663-4CA7-8259-64F6B6A55EC9}"/>
    <cellStyle name="Pourcentage 15" xfId="6046" xr:uid="{00000000-0005-0000-0000-0000C0130000}"/>
    <cellStyle name="Pourcentage 15 2" xfId="8847" xr:uid="{3A472D03-532C-4646-82A5-F98120C9C092}"/>
    <cellStyle name="Pourcentage 2" xfId="487" xr:uid="{00000000-0005-0000-0000-0000C1130000}"/>
    <cellStyle name="Pourcentage 2 2" xfId="488" xr:uid="{00000000-0005-0000-0000-0000C2130000}"/>
    <cellStyle name="Pourcentage 2 2 2" xfId="489" xr:uid="{00000000-0005-0000-0000-0000C3130000}"/>
    <cellStyle name="Pourcentage 2 2 2 2" xfId="2285" xr:uid="{00000000-0005-0000-0000-0000C4130000}"/>
    <cellStyle name="Pourcentage 2 2 2 3" xfId="629" xr:uid="{00000000-0005-0000-0000-0000C5130000}"/>
    <cellStyle name="Pourcentage 2 2 3" xfId="2286" xr:uid="{00000000-0005-0000-0000-0000C6130000}"/>
    <cellStyle name="Pourcentage 2 2 4" xfId="602" xr:uid="{00000000-0005-0000-0000-0000C7130000}"/>
    <cellStyle name="Pourcentage 2 2 4 2" xfId="5942" xr:uid="{00000000-0005-0000-0000-0000C8130000}"/>
    <cellStyle name="Pourcentage 2 3" xfId="490" xr:uid="{00000000-0005-0000-0000-0000C9130000}"/>
    <cellStyle name="Pourcentage 2 3 2" xfId="2100" xr:uid="{00000000-0005-0000-0000-0000CA130000}"/>
    <cellStyle name="Pourcentage 2 3 2 2" xfId="2625" xr:uid="{00000000-0005-0000-0000-0000CB130000}"/>
    <cellStyle name="Pourcentage 2 3 2 3" xfId="5943" xr:uid="{00000000-0005-0000-0000-0000CC130000}"/>
    <cellStyle name="Pourcentage 2 3 3" xfId="4820" xr:uid="{00000000-0005-0000-0000-0000CD130000}"/>
    <cellStyle name="Pourcentage 2 3 3 2" xfId="5566" xr:uid="{00000000-0005-0000-0000-0000CE130000}"/>
    <cellStyle name="Pourcentage 2 3 3 2 2" xfId="8460" xr:uid="{0E18BC37-9EBA-4AAA-BD07-4541AAF0DCAD}"/>
    <cellStyle name="Pourcentage 2 3 4" xfId="628" xr:uid="{00000000-0005-0000-0000-0000CF130000}"/>
    <cellStyle name="Pourcentage 2 4" xfId="777" xr:uid="{00000000-0005-0000-0000-0000D0130000}"/>
    <cellStyle name="Pourcentage 2 4 2" xfId="3462" xr:uid="{00000000-0005-0000-0000-0000D1130000}"/>
    <cellStyle name="Pourcentage 2 4 2 2" xfId="4823" xr:uid="{00000000-0005-0000-0000-0000D2130000}"/>
    <cellStyle name="Pourcentage 2 4 2 3" xfId="4822" xr:uid="{00000000-0005-0000-0000-0000D3130000}"/>
    <cellStyle name="Pourcentage 2 4 3" xfId="2797" xr:uid="{00000000-0005-0000-0000-0000D4130000}"/>
    <cellStyle name="Pourcentage 2 4 3 2" xfId="4824" xr:uid="{00000000-0005-0000-0000-0000D5130000}"/>
    <cellStyle name="Pourcentage 2 4 3 3" xfId="6936" xr:uid="{BEBBD43A-D4D6-4D24-84AA-80E05559F471}"/>
    <cellStyle name="Pourcentage 2 4 4" xfId="4821" xr:uid="{00000000-0005-0000-0000-0000D6130000}"/>
    <cellStyle name="Pourcentage 2 4 5" xfId="5175" xr:uid="{00000000-0005-0000-0000-0000D7130000}"/>
    <cellStyle name="Pourcentage 2 5" xfId="3548" xr:uid="{00000000-0005-0000-0000-0000D8130000}"/>
    <cellStyle name="Pourcentage 2 5 2" xfId="5944" xr:uid="{00000000-0005-0000-0000-0000D9130000}"/>
    <cellStyle name="Pourcentage 2 6" xfId="2947" xr:uid="{00000000-0005-0000-0000-0000DA130000}"/>
    <cellStyle name="Pourcentage 2 6 2" xfId="5431" xr:uid="{00000000-0005-0000-0000-0000DB130000}"/>
    <cellStyle name="Pourcentage 2 6 2 2" xfId="8348" xr:uid="{D295B00E-1F5F-4F5E-A5CD-242757826109}"/>
    <cellStyle name="Pourcentage 2 6 3" xfId="5945" xr:uid="{00000000-0005-0000-0000-0000DC130000}"/>
    <cellStyle name="Pourcentage 2 6 3 2" xfId="8761" xr:uid="{932AE9A2-C195-4F56-8F5C-D187EA4A39B2}"/>
    <cellStyle name="Pourcentage 2 6 4" xfId="6154" xr:uid="{00000000-0005-0000-0000-0000DD130000}"/>
    <cellStyle name="Pourcentage 2 6 4 2" xfId="8944" xr:uid="{36B93334-61E4-4118-956A-8D9DB88320B5}"/>
    <cellStyle name="Pourcentage 2 7" xfId="2556" xr:uid="{00000000-0005-0000-0000-0000DE130000}"/>
    <cellStyle name="Pourcentage 2 8" xfId="601" xr:uid="{00000000-0005-0000-0000-0000DF130000}"/>
    <cellStyle name="Pourcentage 3" xfId="491" xr:uid="{00000000-0005-0000-0000-0000E0130000}"/>
    <cellStyle name="Pourcentage 3 2" xfId="492" xr:uid="{00000000-0005-0000-0000-0000E1130000}"/>
    <cellStyle name="Pourcentage 3 2 2" xfId="2282" xr:uid="{00000000-0005-0000-0000-0000E2130000}"/>
    <cellStyle name="Pourcentage 3 2 3" xfId="667" xr:uid="{00000000-0005-0000-0000-0000E3130000}"/>
    <cellStyle name="Pourcentage 3 3" xfId="1762" xr:uid="{00000000-0005-0000-0000-0000E4130000}"/>
    <cellStyle name="Pourcentage 3 4" xfId="2283" xr:uid="{00000000-0005-0000-0000-0000E5130000}"/>
    <cellStyle name="Pourcentage 3 5" xfId="3904" xr:uid="{00000000-0005-0000-0000-0000E6130000}"/>
    <cellStyle name="Pourcentage 3 5 2" xfId="5946" xr:uid="{00000000-0005-0000-0000-0000E7130000}"/>
    <cellStyle name="Pourcentage 3 6" xfId="5947" xr:uid="{00000000-0005-0000-0000-0000E8130000}"/>
    <cellStyle name="Pourcentage 3 6 2" xfId="6155" xr:uid="{00000000-0005-0000-0000-0000E9130000}"/>
    <cellStyle name="Pourcentage 3 6 2 2" xfId="8945" xr:uid="{86F8FAF2-7756-412C-A5B4-60370813F54F}"/>
    <cellStyle name="Pourcentage 3 6 3" xfId="8762" xr:uid="{7A82EF07-7B6E-40E4-98A2-22934513F366}"/>
    <cellStyle name="Pourcentage 4" xfId="493" xr:uid="{00000000-0005-0000-0000-0000EA130000}"/>
    <cellStyle name="Pourcentage 4 2" xfId="2103" xr:uid="{00000000-0005-0000-0000-0000EB130000}"/>
    <cellStyle name="Pourcentage 4 2 2" xfId="3624" xr:uid="{00000000-0005-0000-0000-0000EC130000}"/>
    <cellStyle name="Pourcentage 4 3" xfId="2280" xr:uid="{00000000-0005-0000-0000-0000ED130000}"/>
    <cellStyle name="Pourcentage 4 3 2" xfId="2620" xr:uid="{00000000-0005-0000-0000-0000EE130000}"/>
    <cellStyle name="Pourcentage 4 3 2 2" xfId="6840" xr:uid="{9BA89DFA-8861-486D-B796-1C1DF9C91966}"/>
    <cellStyle name="Pourcentage 4 3 3" xfId="2635" xr:uid="{00000000-0005-0000-0000-0000EF130000}"/>
    <cellStyle name="Pourcentage 4 3 3 2" xfId="6844" xr:uid="{207D525A-DA37-40CF-BB44-EB23F50D50D2}"/>
    <cellStyle name="Pourcentage 4 4" xfId="627" xr:uid="{00000000-0005-0000-0000-0000F0130000}"/>
    <cellStyle name="Pourcentage 4 5" xfId="5949" xr:uid="{00000000-0005-0000-0000-0000F1130000}"/>
    <cellStyle name="Pourcentage 4 5 2" xfId="6156" xr:uid="{00000000-0005-0000-0000-0000F2130000}"/>
    <cellStyle name="Pourcentage 4 5 2 2" xfId="8946" xr:uid="{D114C377-B04E-4C66-823C-7532375955FD}"/>
    <cellStyle name="Pourcentage 4 5 3" xfId="8763" xr:uid="{55219192-9EBC-4C96-B766-74D964153078}"/>
    <cellStyle name="Pourcentage 4 6" xfId="5948" xr:uid="{00000000-0005-0000-0000-0000F3130000}"/>
    <cellStyle name="Pourcentage 5" xfId="494" xr:uid="{00000000-0005-0000-0000-0000F4130000}"/>
    <cellStyle name="Pourcentage 5 2" xfId="495" xr:uid="{00000000-0005-0000-0000-0000F5130000}"/>
    <cellStyle name="Pourcentage 5 2 2" xfId="2277" xr:uid="{00000000-0005-0000-0000-0000F6130000}"/>
    <cellStyle name="Pourcentage 5 2 3" xfId="630" xr:uid="{00000000-0005-0000-0000-0000F7130000}"/>
    <cellStyle name="Pourcentage 5 2 3 2" xfId="5951" xr:uid="{00000000-0005-0000-0000-0000F8130000}"/>
    <cellStyle name="Pourcentage 5 2 3 2 2" xfId="8765" xr:uid="{2DA326E4-5A6F-403A-8772-39E14831BC03}"/>
    <cellStyle name="Pourcentage 5 2 3 3" xfId="6158" xr:uid="{00000000-0005-0000-0000-0000F9130000}"/>
    <cellStyle name="Pourcentage 5 2 3 3 2" xfId="8948" xr:uid="{CC69F2B0-E736-4EE3-A8FF-EB271EA09DFE}"/>
    <cellStyle name="Pourcentage 5 3" xfId="2278" xr:uid="{00000000-0005-0000-0000-0000FA130000}"/>
    <cellStyle name="Pourcentage 5 3 2" xfId="5952" xr:uid="{00000000-0005-0000-0000-0000FB130000}"/>
    <cellStyle name="Pourcentage 5 3 2 2" xfId="6159" xr:uid="{00000000-0005-0000-0000-0000FC130000}"/>
    <cellStyle name="Pourcentage 5 3 2 2 2" xfId="8949" xr:uid="{1CDC9FE2-1CC6-4900-82A9-4D2929D35EFC}"/>
    <cellStyle name="Pourcentage 5 3 2 3" xfId="8766" xr:uid="{9255A14D-755D-444F-A065-7B275BA9B002}"/>
    <cellStyle name="Pourcentage 5 4" xfId="603" xr:uid="{00000000-0005-0000-0000-0000FD130000}"/>
    <cellStyle name="Pourcentage 5 5" xfId="5953" xr:uid="{00000000-0005-0000-0000-0000FE130000}"/>
    <cellStyle name="Pourcentage 5 5 2" xfId="6160" xr:uid="{00000000-0005-0000-0000-0000FF130000}"/>
    <cellStyle name="Pourcentage 5 5 2 2" xfId="8950" xr:uid="{5B2A0AB1-A4A9-4DA2-BBB4-8CE71743B93E}"/>
    <cellStyle name="Pourcentage 5 5 3" xfId="8767" xr:uid="{B8E387FC-1269-4815-B569-5CD224DB2486}"/>
    <cellStyle name="Pourcentage 5 6" xfId="5950" xr:uid="{00000000-0005-0000-0000-000000140000}"/>
    <cellStyle name="Pourcentage 5 6 2" xfId="8764" xr:uid="{CFBEB030-AD1E-48F3-88CA-089FFF45F759}"/>
    <cellStyle name="Pourcentage 5 7" xfId="6157" xr:uid="{00000000-0005-0000-0000-000001140000}"/>
    <cellStyle name="Pourcentage 5 7 2" xfId="8947" xr:uid="{3303B3E2-7B7E-4E37-BCFD-F41A5A442A31}"/>
    <cellStyle name="Pourcentage 6" xfId="496" xr:uid="{00000000-0005-0000-0000-000002140000}"/>
    <cellStyle name="Pourcentage 6 2" xfId="497" xr:uid="{00000000-0005-0000-0000-000003140000}"/>
    <cellStyle name="Pourcentage 6 2 2" xfId="3761" xr:uid="{00000000-0005-0000-0000-000004140000}"/>
    <cellStyle name="Pourcentage 6 2 3" xfId="668" xr:uid="{00000000-0005-0000-0000-000005140000}"/>
    <cellStyle name="Pourcentage 6 2 3 2" xfId="5954" xr:uid="{00000000-0005-0000-0000-000006140000}"/>
    <cellStyle name="Pourcentage 6 2 3 2 2" xfId="8768" xr:uid="{911211EE-94AD-4141-8CE8-265735E446AB}"/>
    <cellStyle name="Pourcentage 6 2 3 3" xfId="6161" xr:uid="{00000000-0005-0000-0000-000007140000}"/>
    <cellStyle name="Pourcentage 6 2 3 3 2" xfId="8951" xr:uid="{F0AA09F6-A785-44D1-9EE6-FDE5C43F26CB}"/>
    <cellStyle name="Pourcentage 6 3" xfId="498" xr:uid="{00000000-0005-0000-0000-000008140000}"/>
    <cellStyle name="Pourcentage 6 3 2" xfId="5955" xr:uid="{00000000-0005-0000-0000-000009140000}"/>
    <cellStyle name="Pourcentage 6 4" xfId="499" xr:uid="{00000000-0005-0000-0000-00000A140000}"/>
    <cellStyle name="Pourcentage 6 4 2" xfId="4129" xr:uid="{00000000-0005-0000-0000-00000B140000}"/>
    <cellStyle name="Pourcentage 6 4 3" xfId="5956" xr:uid="{00000000-0005-0000-0000-00000C140000}"/>
    <cellStyle name="Pourcentage 6 5" xfId="3464" xr:uid="{00000000-0005-0000-0000-00000D140000}"/>
    <cellStyle name="Pourcentage 6 5 2" xfId="3842" xr:uid="{00000000-0005-0000-0000-00000E140000}"/>
    <cellStyle name="Pourcentage 6 5 3" xfId="5957" xr:uid="{00000000-0005-0000-0000-00000F140000}"/>
    <cellStyle name="Pourcentage 6 5 3 2" xfId="8769" xr:uid="{14CB170E-8BFD-43D2-BC5E-0E9CB1DE54E7}"/>
    <cellStyle name="Pourcentage 6 5 4" xfId="6162" xr:uid="{00000000-0005-0000-0000-000010140000}"/>
    <cellStyle name="Pourcentage 6 5 4 2" xfId="8952" xr:uid="{7EF35880-0CB5-45FB-9E1D-258206AEE506}"/>
    <cellStyle name="Pourcentage 6 6" xfId="2275" xr:uid="{00000000-0005-0000-0000-000011140000}"/>
    <cellStyle name="Pourcentage 7" xfId="500" xr:uid="{00000000-0005-0000-0000-000012140000}"/>
    <cellStyle name="Pourcentage 7 2" xfId="3465" xr:uid="{00000000-0005-0000-0000-000013140000}"/>
    <cellStyle name="Pourcentage 7 2 2" xfId="3843" xr:uid="{00000000-0005-0000-0000-000014140000}"/>
    <cellStyle name="Pourcentage 7 2 2 2" xfId="5958" xr:uid="{00000000-0005-0000-0000-000015140000}"/>
    <cellStyle name="Pourcentage 7 2 2 2 2" xfId="8770" xr:uid="{7766D015-41FB-4996-90E8-7E70036293DC}"/>
    <cellStyle name="Pourcentage 7 2 2 3" xfId="6163" xr:uid="{00000000-0005-0000-0000-000016140000}"/>
    <cellStyle name="Pourcentage 7 2 2 3 2" xfId="8953" xr:uid="{922748E9-8141-429A-AAA3-1DD408881A0C}"/>
    <cellStyle name="Pourcentage 7 3" xfId="5959" xr:uid="{00000000-0005-0000-0000-000017140000}"/>
    <cellStyle name="Pourcentage 7 4" xfId="5960" xr:uid="{00000000-0005-0000-0000-000018140000}"/>
    <cellStyle name="Pourcentage 7 4 2" xfId="6164" xr:uid="{00000000-0005-0000-0000-000019140000}"/>
    <cellStyle name="Pourcentage 7 4 2 2" xfId="8954" xr:uid="{1BB9142B-CB2F-4FBD-A8A4-22FA6547CEF6}"/>
    <cellStyle name="Pourcentage 7 4 3" xfId="8771" xr:uid="{069D24E4-A95A-405E-8B6C-6950B6BA0586}"/>
    <cellStyle name="Pourcentage 8" xfId="501" xr:uid="{00000000-0005-0000-0000-00001A140000}"/>
    <cellStyle name="Pourcentage 8 10" xfId="6279" xr:uid="{3F920213-3444-43A7-8161-3182B82EE09F}"/>
    <cellStyle name="Pourcentage 8 2" xfId="1764" xr:uid="{00000000-0005-0000-0000-00001B140000}"/>
    <cellStyle name="Pourcentage 8 2 2" xfId="3467" xr:uid="{00000000-0005-0000-0000-00001C140000}"/>
    <cellStyle name="Pourcentage 8 2 2 2" xfId="4827" xr:uid="{00000000-0005-0000-0000-00001D140000}"/>
    <cellStyle name="Pourcentage 8 2 2 3" xfId="4826" xr:uid="{00000000-0005-0000-0000-00001E140000}"/>
    <cellStyle name="Pourcentage 8 2 3" xfId="4828" xr:uid="{00000000-0005-0000-0000-00001F140000}"/>
    <cellStyle name="Pourcentage 8 2 4" xfId="4825" xr:uid="{00000000-0005-0000-0000-000020140000}"/>
    <cellStyle name="Pourcentage 8 2 5" xfId="4668" xr:uid="{00000000-0005-0000-0000-000021140000}"/>
    <cellStyle name="Pourcentage 8 2 6" xfId="6550" xr:uid="{C05AFF00-64B5-43D5-B810-F8B27319A29A}"/>
    <cellStyle name="Pourcentage 8 3" xfId="1763" xr:uid="{00000000-0005-0000-0000-000022140000}"/>
    <cellStyle name="Pourcentage 8 3 2" xfId="3468" xr:uid="{00000000-0005-0000-0000-000023140000}"/>
    <cellStyle name="Pourcentage 8 3 2 2" xfId="4425" xr:uid="{00000000-0005-0000-0000-000024140000}"/>
    <cellStyle name="Pourcentage 8 3 2 2 2" xfId="7652" xr:uid="{97E61700-2A94-4FF1-9592-F56397C402BF}"/>
    <cellStyle name="Pourcentage 8 3 2 3" xfId="4830" xr:uid="{00000000-0005-0000-0000-000025140000}"/>
    <cellStyle name="Pourcentage 8 3 2 4" xfId="7069" xr:uid="{7C059D38-CABF-4F53-8069-355699CC3AE5}"/>
    <cellStyle name="Pourcentage 8 3 3" xfId="4073" xr:uid="{00000000-0005-0000-0000-000026140000}"/>
    <cellStyle name="Pourcentage 8 3 3 2" xfId="4831" xr:uid="{00000000-0005-0000-0000-000027140000}"/>
    <cellStyle name="Pourcentage 8 3 3 3" xfId="7377" xr:uid="{6BAD8158-46A5-4D5A-BAFF-AAA189D28FC3}"/>
    <cellStyle name="Pourcentage 8 3 4" xfId="4304" xr:uid="{00000000-0005-0000-0000-000028140000}"/>
    <cellStyle name="Pourcentage 8 3 4 2" xfId="7531" xr:uid="{7D342A7D-2872-40C0-9CF4-7D7FA34B7C93}"/>
    <cellStyle name="Pourcentage 8 3 5" xfId="4829" xr:uid="{00000000-0005-0000-0000-000029140000}"/>
    <cellStyle name="Pourcentage 8 3 5 2" xfId="5136" xr:uid="{00000000-0005-0000-0000-00002A140000}"/>
    <cellStyle name="Pourcentage 8 3 5 2 2" xfId="8087" xr:uid="{B0A5658E-CDC3-4641-94B1-765A19AA7A42}"/>
    <cellStyle name="Pourcentage 8 3 6" xfId="5401" xr:uid="{00000000-0005-0000-0000-00002B140000}"/>
    <cellStyle name="Pourcentage 8 3 6 2" xfId="8323" xr:uid="{9B8D4108-351B-450C-A69F-1BB537465968}"/>
    <cellStyle name="Pourcentage 8 4" xfId="3466" xr:uid="{00000000-0005-0000-0000-00002C140000}"/>
    <cellStyle name="Pourcentage 8 5" xfId="2950" xr:uid="{00000000-0005-0000-0000-00002D140000}"/>
    <cellStyle name="Pourcentage 8 5 2" xfId="4346" xr:uid="{00000000-0005-0000-0000-00002E140000}"/>
    <cellStyle name="Pourcentage 8 5 2 2" xfId="7573" xr:uid="{5B5828F8-CCCF-4D07-B39C-FFCE443144CB}"/>
    <cellStyle name="Pourcentage 8 5 3" xfId="4832" xr:uid="{00000000-0005-0000-0000-00002F140000}"/>
    <cellStyle name="Pourcentage 8 5 4" xfId="6982" xr:uid="{2B9FF9D4-073B-4FF5-A737-35DE13393D01}"/>
    <cellStyle name="Pourcentage 8 6" xfId="3994" xr:uid="{00000000-0005-0000-0000-000030140000}"/>
    <cellStyle name="Pourcentage 8 6 2" xfId="4833" xr:uid="{00000000-0005-0000-0000-000031140000}"/>
    <cellStyle name="Pourcentage 8 6 3" xfId="7298" xr:uid="{A94EC326-B085-4CE7-BCC9-C1522DED1592}"/>
    <cellStyle name="Pourcentage 8 7" xfId="2137" xr:uid="{00000000-0005-0000-0000-000032140000}"/>
    <cellStyle name="Pourcentage 8 7 2" xfId="4225" xr:uid="{00000000-0005-0000-0000-000033140000}"/>
    <cellStyle name="Pourcentage 8 7 2 2" xfId="7452" xr:uid="{FFD0F379-DF63-44C0-BA4E-35E552EE58EF}"/>
    <cellStyle name="Pourcentage 8 8" xfId="5322" xr:uid="{00000000-0005-0000-0000-000034140000}"/>
    <cellStyle name="Pourcentage 8 8 2" xfId="8244" xr:uid="{B7C18DAA-55DA-448B-AE24-CDA37D9B1633}"/>
    <cellStyle name="Pourcentage 8 9" xfId="754" xr:uid="{00000000-0005-0000-0000-000035140000}"/>
    <cellStyle name="Pourcentage 8 9 2" xfId="6417" xr:uid="{F7849945-2523-4CD2-9190-F64FBE17179E}"/>
    <cellStyle name="Pourcentage 9" xfId="600" xr:uid="{00000000-0005-0000-0000-000036140000}"/>
    <cellStyle name="Pourcentage 9 2" xfId="3469" xr:uid="{00000000-0005-0000-0000-000037140000}"/>
    <cellStyle name="Pourcentage 9 2 2" xfId="3846" xr:uid="{00000000-0005-0000-0000-000038140000}"/>
    <cellStyle name="Pourcentage 9 2 2 2" xfId="4426" xr:uid="{00000000-0005-0000-0000-000039140000}"/>
    <cellStyle name="Pourcentage 9 2 2 2 2" xfId="7653" xr:uid="{06B51332-75F9-4804-8DAC-5E615422C0CD}"/>
    <cellStyle name="Pourcentage 9 2 2 3" xfId="4836" xr:uid="{00000000-0005-0000-0000-00003A140000}"/>
    <cellStyle name="Pourcentage 9 2 2 4" xfId="7248" xr:uid="{F4ABA26D-FE2D-41DD-8390-63178C8B6908}"/>
    <cellStyle name="Pourcentage 9 2 3" xfId="4074" xr:uid="{00000000-0005-0000-0000-00003B140000}"/>
    <cellStyle name="Pourcentage 9 2 3 2" xfId="4837" xr:uid="{00000000-0005-0000-0000-00003C140000}"/>
    <cellStyle name="Pourcentage 9 2 3 3" xfId="7378" xr:uid="{53B0C858-EA99-46EA-A732-AEDC27027030}"/>
    <cellStyle name="Pourcentage 9 2 4" xfId="4305" xr:uid="{00000000-0005-0000-0000-00003D140000}"/>
    <cellStyle name="Pourcentage 9 2 4 2" xfId="4838" xr:uid="{00000000-0005-0000-0000-00003E140000}"/>
    <cellStyle name="Pourcentage 9 2 4 3" xfId="7532" xr:uid="{11050A34-188C-4067-8180-A47763B82E4B}"/>
    <cellStyle name="Pourcentage 9 2 5" xfId="5127" xr:uid="{00000000-0005-0000-0000-00003F140000}"/>
    <cellStyle name="Pourcentage 9 2 5 2" xfId="8084" xr:uid="{C5FF5B31-15C9-4168-8F37-3A2D56AB76EF}"/>
    <cellStyle name="Pourcentage 9 2 6" xfId="4835" xr:uid="{00000000-0005-0000-0000-000040140000}"/>
    <cellStyle name="Pourcentage 9 2 6 2" xfId="5402" xr:uid="{00000000-0005-0000-0000-000041140000}"/>
    <cellStyle name="Pourcentage 9 2 6 2 2" xfId="8324" xr:uid="{385C7A4E-8BB3-4522-8CDE-49D66B7BF38C}"/>
    <cellStyle name="Pourcentage 9 2 7" xfId="7070" xr:uid="{2A48BCBC-A308-47CF-A38B-7551FE5FC555}"/>
    <cellStyle name="Pourcentage 9 3" xfId="3845" xr:uid="{00000000-0005-0000-0000-000042140000}"/>
    <cellStyle name="Pourcentage 9 4" xfId="3905" xr:uid="{00000000-0005-0000-0000-000043140000}"/>
    <cellStyle name="Pourcentage 9 4 2" xfId="2631" xr:uid="{00000000-0005-0000-0000-000044140000}"/>
    <cellStyle name="Pourcentage 9 4 3" xfId="4839" xr:uid="{00000000-0005-0000-0000-000045140000}"/>
    <cellStyle name="Pourcentage 9 4 4" xfId="7255" xr:uid="{FA87FD11-3488-49E6-A805-7B0C470751FD}"/>
    <cellStyle name="Pourcentage 9 5" xfId="4834" xr:uid="{00000000-0005-0000-0000-000046140000}"/>
    <cellStyle name="Pourcentage 9 6" xfId="5961" xr:uid="{00000000-0005-0000-0000-000047140000}"/>
    <cellStyle name="Pourcentage_Copie de White Knight VI BIS VL 12 06" xfId="502" xr:uid="{00000000-0005-0000-0000-000048140000}"/>
    <cellStyle name="Satisfaisant" xfId="503" builtinId="26" customBuiltin="1"/>
    <cellStyle name="Satisfaisant 10" xfId="2863" xr:uid="{00000000-0005-0000-0000-00004A140000}"/>
    <cellStyle name="Satisfaisant 10 2" xfId="4840" xr:uid="{00000000-0005-0000-0000-00004B140000}"/>
    <cellStyle name="Satisfaisant 2" xfId="504" xr:uid="{00000000-0005-0000-0000-00004C140000}"/>
    <cellStyle name="Satisfaisant 2 2" xfId="505" xr:uid="{00000000-0005-0000-0000-00004D140000}"/>
    <cellStyle name="Satisfaisant 2 2 2" xfId="1766" xr:uid="{00000000-0005-0000-0000-00004E140000}"/>
    <cellStyle name="Satisfaisant 2 2 2 2" xfId="3470" xr:uid="{00000000-0005-0000-0000-00004F140000}"/>
    <cellStyle name="Satisfaisant 2 2 2 2 2" xfId="4841" xr:uid="{00000000-0005-0000-0000-000050140000}"/>
    <cellStyle name="Satisfaisant 2 2 2 3" xfId="2630" xr:uid="{00000000-0005-0000-0000-000051140000}"/>
    <cellStyle name="Satisfaisant 2 2 3" xfId="1767" xr:uid="{00000000-0005-0000-0000-000052140000}"/>
    <cellStyle name="Satisfaisant 2 3" xfId="506" xr:uid="{00000000-0005-0000-0000-000053140000}"/>
    <cellStyle name="Satisfaisant 2 3 2" xfId="1768" xr:uid="{00000000-0005-0000-0000-000054140000}"/>
    <cellStyle name="Satisfaisant 2 3 2 2" xfId="3471" xr:uid="{00000000-0005-0000-0000-000055140000}"/>
    <cellStyle name="Satisfaisant 2 3 2 2 2" xfId="4842" xr:uid="{00000000-0005-0000-0000-000056140000}"/>
    <cellStyle name="Satisfaisant 2 3 2 3" xfId="2632" xr:uid="{00000000-0005-0000-0000-000057140000}"/>
    <cellStyle name="Satisfaisant 2 3 2 3 2" xfId="4843" xr:uid="{00000000-0005-0000-0000-000058140000}"/>
    <cellStyle name="Satisfaisant 2 3 3" xfId="1769" xr:uid="{00000000-0005-0000-0000-000059140000}"/>
    <cellStyle name="Satisfaisant 2 4" xfId="1770" xr:uid="{00000000-0005-0000-0000-00005A140000}"/>
    <cellStyle name="Satisfaisant 2 4 2" xfId="1771" xr:uid="{00000000-0005-0000-0000-00005B140000}"/>
    <cellStyle name="Satisfaisant 2 4 2 2" xfId="3472" xr:uid="{00000000-0005-0000-0000-00005C140000}"/>
    <cellStyle name="Satisfaisant 2 4 2 2 2" xfId="4844" xr:uid="{00000000-0005-0000-0000-00005D140000}"/>
    <cellStyle name="Satisfaisant 2 4 2 3" xfId="2634" xr:uid="{00000000-0005-0000-0000-00005E140000}"/>
    <cellStyle name="Satisfaisant 2 4 2 3 2" xfId="4845" xr:uid="{00000000-0005-0000-0000-00005F140000}"/>
    <cellStyle name="Satisfaisant 2 4 3" xfId="1772" xr:uid="{00000000-0005-0000-0000-000060140000}"/>
    <cellStyle name="Satisfaisant 2 5" xfId="1773" xr:uid="{00000000-0005-0000-0000-000061140000}"/>
    <cellStyle name="Satisfaisant 2 5 2" xfId="2357" xr:uid="{00000000-0005-0000-0000-000062140000}"/>
    <cellStyle name="Satisfaisant 2 5 2 2" xfId="4846" xr:uid="{00000000-0005-0000-0000-000063140000}"/>
    <cellStyle name="Satisfaisant 2 5 3" xfId="5962" xr:uid="{00000000-0005-0000-0000-000064140000}"/>
    <cellStyle name="Satisfaisant 2 6" xfId="1774" xr:uid="{00000000-0005-0000-0000-000065140000}"/>
    <cellStyle name="Satisfaisant 2 7" xfId="1775" xr:uid="{00000000-0005-0000-0000-000066140000}"/>
    <cellStyle name="Satisfaisant 2 7 2" xfId="1776" xr:uid="{00000000-0005-0000-0000-000067140000}"/>
    <cellStyle name="Satisfaisant 2 8" xfId="1777" xr:uid="{00000000-0005-0000-0000-000068140000}"/>
    <cellStyle name="Satisfaisant 2 8 2" xfId="2637" xr:uid="{00000000-0005-0000-0000-000069140000}"/>
    <cellStyle name="Satisfaisant 2 9" xfId="1778" xr:uid="{00000000-0005-0000-0000-00006A140000}"/>
    <cellStyle name="Satisfaisant 3" xfId="507" xr:uid="{00000000-0005-0000-0000-00006B140000}"/>
    <cellStyle name="Satisfaisant 3 2" xfId="1779" xr:uid="{00000000-0005-0000-0000-00006C140000}"/>
    <cellStyle name="Satisfaisant 3 2 2" xfId="1780" xr:uid="{00000000-0005-0000-0000-00006D140000}"/>
    <cellStyle name="Satisfaisant 3 2 3" xfId="3473" xr:uid="{00000000-0005-0000-0000-00006E140000}"/>
    <cellStyle name="Satisfaisant 3 2 4" xfId="3659" xr:uid="{00000000-0005-0000-0000-00006F140000}"/>
    <cellStyle name="Satisfaisant 3 2 4 2" xfId="4847" xr:uid="{00000000-0005-0000-0000-000070140000}"/>
    <cellStyle name="Satisfaisant 3 3" xfId="1781" xr:uid="{00000000-0005-0000-0000-000071140000}"/>
    <cellStyle name="Satisfaisant 3 3 2" xfId="1782" xr:uid="{00000000-0005-0000-0000-000072140000}"/>
    <cellStyle name="Satisfaisant 3 3 3" xfId="3474" xr:uid="{00000000-0005-0000-0000-000073140000}"/>
    <cellStyle name="Satisfaisant 3 4" xfId="1783" xr:uid="{00000000-0005-0000-0000-000074140000}"/>
    <cellStyle name="Satisfaisant 3 4 2" xfId="2639" xr:uid="{00000000-0005-0000-0000-000075140000}"/>
    <cellStyle name="Satisfaisant 3 5" xfId="1784" xr:uid="{00000000-0005-0000-0000-000076140000}"/>
    <cellStyle name="Satisfaisant 3 5 2" xfId="3906" xr:uid="{00000000-0005-0000-0000-000077140000}"/>
    <cellStyle name="Satisfaisant 4" xfId="508" xr:uid="{00000000-0005-0000-0000-000078140000}"/>
    <cellStyle name="Satisfaisant 4 2" xfId="1785" xr:uid="{00000000-0005-0000-0000-000079140000}"/>
    <cellStyle name="Satisfaisant 4 2 2" xfId="3475" xr:uid="{00000000-0005-0000-0000-00007A140000}"/>
    <cellStyle name="Satisfaisant 4 3" xfId="1786" xr:uid="{00000000-0005-0000-0000-00007B140000}"/>
    <cellStyle name="Satisfaisant 4 3 2" xfId="2642" xr:uid="{00000000-0005-0000-0000-00007C140000}"/>
    <cellStyle name="Satisfaisant 4 4" xfId="1787" xr:uid="{00000000-0005-0000-0000-00007D140000}"/>
    <cellStyle name="Satisfaisant 5" xfId="509" xr:uid="{00000000-0005-0000-0000-00007E140000}"/>
    <cellStyle name="Satisfaisant 5 2" xfId="1788" xr:uid="{00000000-0005-0000-0000-00007F140000}"/>
    <cellStyle name="Satisfaisant 5 2 2" xfId="3476" xr:uid="{00000000-0005-0000-0000-000080140000}"/>
    <cellStyle name="Satisfaisant 5 3" xfId="1789" xr:uid="{00000000-0005-0000-0000-000081140000}"/>
    <cellStyle name="Satisfaisant 5 3 2" xfId="2645" xr:uid="{00000000-0005-0000-0000-000082140000}"/>
    <cellStyle name="Satisfaisant 5 4" xfId="1790" xr:uid="{00000000-0005-0000-0000-000083140000}"/>
    <cellStyle name="Satisfaisant 6" xfId="510" xr:uid="{00000000-0005-0000-0000-000084140000}"/>
    <cellStyle name="Satisfaisant 6 2" xfId="768" xr:uid="{00000000-0005-0000-0000-000085140000}"/>
    <cellStyle name="Satisfaisant 6 2 2" xfId="4849" xr:uid="{00000000-0005-0000-0000-000086140000}"/>
    <cellStyle name="Satisfaisant 6 2 3" xfId="4848" xr:uid="{00000000-0005-0000-0000-000087140000}"/>
    <cellStyle name="Satisfaisant 6 3" xfId="3477" xr:uid="{00000000-0005-0000-0000-000088140000}"/>
    <cellStyle name="Satisfaisant 6 4" xfId="2646" xr:uid="{00000000-0005-0000-0000-000089140000}"/>
    <cellStyle name="Satisfaisant 7" xfId="1765" xr:uid="{00000000-0005-0000-0000-00008A140000}"/>
    <cellStyle name="Satisfaisant 7 2" xfId="2108" xr:uid="{00000000-0005-0000-0000-00008B140000}"/>
    <cellStyle name="Satisfaisant 8" xfId="3479" xr:uid="{00000000-0005-0000-0000-00008C140000}"/>
    <cellStyle name="Satisfaisant 9" xfId="3566" xr:uid="{00000000-0005-0000-0000-00008D140000}"/>
    <cellStyle name="Single Cell Column Heading" xfId="5963" xr:uid="{00000000-0005-0000-0000-00008E140000}"/>
    <cellStyle name="Sortie" xfId="511" builtinId="21" customBuiltin="1"/>
    <cellStyle name="Sortie 10" xfId="2864" xr:uid="{00000000-0005-0000-0000-000090140000}"/>
    <cellStyle name="Sortie 10 2" xfId="2553" xr:uid="{00000000-0005-0000-0000-000091140000}"/>
    <cellStyle name="Sortie 10 2 2" xfId="6823" xr:uid="{ED23F083-4DE1-45D0-B0CF-A1BCF313FA14}"/>
    <cellStyle name="Sortie 10 3" xfId="4850" xr:uid="{00000000-0005-0000-0000-000092140000}"/>
    <cellStyle name="Sortie 10 4" xfId="6941" xr:uid="{2B27EF90-12FF-4D1F-A77F-BACE89291BEE}"/>
    <cellStyle name="Sortie 11" xfId="2647" xr:uid="{00000000-0005-0000-0000-000093140000}"/>
    <cellStyle name="Sortie 11 2" xfId="3661" xr:uid="{00000000-0005-0000-0000-000094140000}"/>
    <cellStyle name="Sortie 11 2 2" xfId="7143" xr:uid="{15B7D284-EFDB-4025-83FC-DC8354978519}"/>
    <cellStyle name="Sortie 11 3" xfId="6850" xr:uid="{4A49A287-DB49-4DA8-BF48-F39979948AFB}"/>
    <cellStyle name="Sortie 12" xfId="3438" xr:uid="{00000000-0005-0000-0000-000095140000}"/>
    <cellStyle name="Sortie 12 2" xfId="7052" xr:uid="{0AD4982F-1731-4B15-BC3C-87AC3064E91A}"/>
    <cellStyle name="Sortie 13" xfId="4166" xr:uid="{00000000-0005-0000-0000-000096140000}"/>
    <cellStyle name="Sortie 13 2" xfId="7411" xr:uid="{CC25ADD2-BF40-4ABE-BC55-635E0875F939}"/>
    <cellStyle name="Sortie 14" xfId="5244" xr:uid="{00000000-0005-0000-0000-000097140000}"/>
    <cellStyle name="Sortie 14 2" xfId="8166" xr:uid="{48765131-D51F-4BCE-BC41-33F72E676241}"/>
    <cellStyle name="Sortie 15" xfId="6280" xr:uid="{1043CE48-2BDD-4A27-8D77-280829286225}"/>
    <cellStyle name="Sortie 2" xfId="512" xr:uid="{00000000-0005-0000-0000-000098140000}"/>
    <cellStyle name="Sortie 2 10" xfId="2648" xr:uid="{00000000-0005-0000-0000-000099140000}"/>
    <cellStyle name="Sortie 2 10 2" xfId="6851" xr:uid="{653250CD-5103-47BF-AD90-E435CF8BACC0}"/>
    <cellStyle name="Sortie 2 11" xfId="2791" xr:uid="{00000000-0005-0000-0000-00009A140000}"/>
    <cellStyle name="Sortie 2 11 2" xfId="6930" xr:uid="{DA2DB8FE-2F94-4AEE-AE5C-3A4A7B2A76E9}"/>
    <cellStyle name="Sortie 2 12" xfId="2339" xr:uid="{00000000-0005-0000-0000-00009B140000}"/>
    <cellStyle name="Sortie 2 12 2" xfId="6699" xr:uid="{FD13D3CE-C493-4A46-9B20-6D2178E21732}"/>
    <cellStyle name="Sortie 2 13" xfId="4785" xr:uid="{00000000-0005-0000-0000-00009C140000}"/>
    <cellStyle name="Sortie 2 13 2" xfId="7854" xr:uid="{EAD3376D-B5C1-4A30-ADF1-6C41BC2125CF}"/>
    <cellStyle name="Sortie 2 14" xfId="4923" xr:uid="{00000000-0005-0000-0000-00009D140000}"/>
    <cellStyle name="Sortie 2 14 2" xfId="7919" xr:uid="{96E976A9-9418-43F0-B4F2-C20A304E54D0}"/>
    <cellStyle name="Sortie 2 15" xfId="632" xr:uid="{00000000-0005-0000-0000-00009E140000}"/>
    <cellStyle name="Sortie 2 15 2" xfId="6318" xr:uid="{4850404F-CE9E-4B8B-91B7-ADA20382B94C}"/>
    <cellStyle name="Sortie 2 16" xfId="5964" xr:uid="{00000000-0005-0000-0000-00009F140000}"/>
    <cellStyle name="Sortie 2 16 2" xfId="8772" xr:uid="{1359DCEA-1C6A-471C-A498-4BDD0CD39BFF}"/>
    <cellStyle name="Sortie 2 17" xfId="6008" xr:uid="{00000000-0005-0000-0000-0000A0140000}"/>
    <cellStyle name="Sortie 2 17 2" xfId="8809" xr:uid="{00164096-B1B5-4B09-89B4-4967A210E438}"/>
    <cellStyle name="Sortie 2 18" xfId="6281" xr:uid="{BC9C3A54-6E1C-4A64-9D9C-A808ACDFAB22}"/>
    <cellStyle name="Sortie 2 2" xfId="513" xr:uid="{00000000-0005-0000-0000-0000A1140000}"/>
    <cellStyle name="Sortie 2 2 10" xfId="5965" xr:uid="{00000000-0005-0000-0000-0000A2140000}"/>
    <cellStyle name="Sortie 2 2 10 2" xfId="8773" xr:uid="{2F1CB8E7-FC5B-404A-816E-E1EAF747F8E4}"/>
    <cellStyle name="Sortie 2 2 11" xfId="6009" xr:uid="{00000000-0005-0000-0000-0000A3140000}"/>
    <cellStyle name="Sortie 2 2 11 2" xfId="8810" xr:uid="{B86A6E8D-DBE8-499E-B5FF-F0A6F1E5A2B9}"/>
    <cellStyle name="Sortie 2 2 12" xfId="6282" xr:uid="{619F6132-588E-4C50-85B8-B1CEEA71A28D}"/>
    <cellStyle name="Sortie 2 2 2" xfId="1792" xr:uid="{00000000-0005-0000-0000-0000A4140000}"/>
    <cellStyle name="Sortie 2 2 2 10" xfId="6010" xr:uid="{00000000-0005-0000-0000-0000A5140000}"/>
    <cellStyle name="Sortie 2 2 2 10 2" xfId="8811" xr:uid="{B28798AD-47FF-40F0-94C8-1A86671894D7}"/>
    <cellStyle name="Sortie 2 2 2 11" xfId="6551" xr:uid="{393F309B-CE67-4BC5-9ABB-8D1DE05B9C68}"/>
    <cellStyle name="Sortie 2 2 2 2" xfId="3480" xr:uid="{00000000-0005-0000-0000-0000A6140000}"/>
    <cellStyle name="Sortie 2 2 2 2 2" xfId="3714" xr:uid="{00000000-0005-0000-0000-0000A7140000}"/>
    <cellStyle name="Sortie 2 2 2 2 2 2" xfId="7196" xr:uid="{9D465E2B-73EB-4BB1-90A7-63245A991386}"/>
    <cellStyle name="Sortie 2 2 2 2 3" xfId="4851" xr:uid="{00000000-0005-0000-0000-0000A8140000}"/>
    <cellStyle name="Sortie 2 2 2 2 3 2" xfId="7873" xr:uid="{F333763F-3ACF-49F5-B95B-329D97F52600}"/>
    <cellStyle name="Sortie 2 2 2 2 4" xfId="7072" xr:uid="{65F3623A-0434-4388-9B80-E10A9013B58B}"/>
    <cellStyle name="Sortie 2 2 2 3" xfId="2650" xr:uid="{00000000-0005-0000-0000-0000A9140000}"/>
    <cellStyle name="Sortie 2 2 2 3 2" xfId="6853" xr:uid="{660313D2-3CEE-4DE5-B816-DE15020C4DDA}"/>
    <cellStyle name="Sortie 2 2 2 4" xfId="3625" xr:uid="{00000000-0005-0000-0000-0000AA140000}"/>
    <cellStyle name="Sortie 2 2 2 4 2" xfId="7112" xr:uid="{306FFA3B-7CBA-45D5-8F70-0F84C60CA9F9}"/>
    <cellStyle name="Sortie 2 2 2 5" xfId="2217" xr:uid="{00000000-0005-0000-0000-0000AB140000}"/>
    <cellStyle name="Sortie 2 2 2 5 2" xfId="6675" xr:uid="{526372B5-8855-469F-88F8-FDCDFB6C4CAF}"/>
    <cellStyle name="Sortie 2 2 2 6" xfId="4766" xr:uid="{00000000-0005-0000-0000-0000AC140000}"/>
    <cellStyle name="Sortie 2 2 2 6 2" xfId="7836" xr:uid="{47985D54-DBEF-459B-AB94-57782F3F0888}"/>
    <cellStyle name="Sortie 2 2 2 7" xfId="5514" xr:uid="{00000000-0005-0000-0000-0000AD140000}"/>
    <cellStyle name="Sortie 2 2 2 7 2" xfId="8420" xr:uid="{02BEA6F0-6ED9-477F-A0AB-059227D5319B}"/>
    <cellStyle name="Sortie 2 2 2 8" xfId="5592" xr:uid="{00000000-0005-0000-0000-0000AE140000}"/>
    <cellStyle name="Sortie 2 2 2 8 2" xfId="8485" xr:uid="{D858DAAB-4DD1-44B5-B1F2-4E02E1E1BEF4}"/>
    <cellStyle name="Sortie 2 2 2 9" xfId="5966" xr:uid="{00000000-0005-0000-0000-0000AF140000}"/>
    <cellStyle name="Sortie 2 2 2 9 2" xfId="8774" xr:uid="{0EF6B77D-BC13-46F7-87F1-A355CEA8265A}"/>
    <cellStyle name="Sortie 2 2 3" xfId="1793" xr:uid="{00000000-0005-0000-0000-0000B0140000}"/>
    <cellStyle name="Sortie 2 2 3 2" xfId="3107" xr:uid="{00000000-0005-0000-0000-0000B1140000}"/>
    <cellStyle name="Sortie 2 2 3 2 2" xfId="6987" xr:uid="{BBB8C410-CE8A-4193-87E0-11FEAFF33C56}"/>
    <cellStyle name="Sortie 2 2 3 3" xfId="4852" xr:uid="{00000000-0005-0000-0000-0000B2140000}"/>
    <cellStyle name="Sortie 2 2 3 3 2" xfId="7874" xr:uid="{41A13B97-EA0C-4C44-81CE-BD203384116C}"/>
    <cellStyle name="Sortie 2 2 3 4" xfId="6552" xr:uid="{9EBB522D-7A86-4001-A673-4F74F553139B}"/>
    <cellStyle name="Sortie 2 2 4" xfId="2649" xr:uid="{00000000-0005-0000-0000-0000B3140000}"/>
    <cellStyle name="Sortie 2 2 4 2" xfId="6852" xr:uid="{F006F363-2CC9-4D57-A816-59F23B496D7F}"/>
    <cellStyle name="Sortie 2 2 5" xfId="3439" xr:uid="{00000000-0005-0000-0000-0000B4140000}"/>
    <cellStyle name="Sortie 2 2 5 2" xfId="7053" xr:uid="{04B60D6C-481A-4626-9825-754B5C946159}"/>
    <cellStyle name="Sortie 2 2 6" xfId="2218" xr:uid="{00000000-0005-0000-0000-0000B5140000}"/>
    <cellStyle name="Sortie 2 2 6 2" xfId="6676" xr:uid="{BAEB2742-7262-4335-A0AE-E5FC81E8DB21}"/>
    <cellStyle name="Sortie 2 2 7" xfId="4805" xr:uid="{00000000-0005-0000-0000-0000B6140000}"/>
    <cellStyle name="Sortie 2 2 7 2" xfId="7870" xr:uid="{FE8F2112-6942-4185-9190-00DB59C69FCD}"/>
    <cellStyle name="Sortie 2 2 8" xfId="4135" xr:uid="{00000000-0005-0000-0000-0000B7140000}"/>
    <cellStyle name="Sortie 2 2 8 2" xfId="7405" xr:uid="{B6F9597C-D2D9-443C-BE84-88F77AA17BC8}"/>
    <cellStyle name="Sortie 2 2 9" xfId="670" xr:uid="{00000000-0005-0000-0000-0000B8140000}"/>
    <cellStyle name="Sortie 2 2 9 2" xfId="6339" xr:uid="{47D116A2-2540-486E-90B5-F14307EECE26}"/>
    <cellStyle name="Sortie 2 3" xfId="514" xr:uid="{00000000-0005-0000-0000-0000B9140000}"/>
    <cellStyle name="Sortie 2 3 10" xfId="5967" xr:uid="{00000000-0005-0000-0000-0000BA140000}"/>
    <cellStyle name="Sortie 2 3 10 2" xfId="8775" xr:uid="{8D53BBDC-F2CC-4BC4-8242-2361EBE62EE3}"/>
    <cellStyle name="Sortie 2 3 11" xfId="6011" xr:uid="{00000000-0005-0000-0000-0000BB140000}"/>
    <cellStyle name="Sortie 2 3 11 2" xfId="8812" xr:uid="{BDA7E08E-330E-40BF-ACC8-7EF68C13B5B4}"/>
    <cellStyle name="Sortie 2 3 12" xfId="6283" xr:uid="{C39570BC-4B74-450F-A539-38570204A86A}"/>
    <cellStyle name="Sortie 2 3 2" xfId="1794" xr:uid="{00000000-0005-0000-0000-0000BC140000}"/>
    <cellStyle name="Sortie 2 3 2 10" xfId="5968" xr:uid="{00000000-0005-0000-0000-0000BD140000}"/>
    <cellStyle name="Sortie 2 3 2 10 2" xfId="8776" xr:uid="{B657AA89-BBC9-4B4E-A6EB-6FD052D16D7F}"/>
    <cellStyle name="Sortie 2 3 2 11" xfId="6012" xr:uid="{00000000-0005-0000-0000-0000BE140000}"/>
    <cellStyle name="Sortie 2 3 2 11 2" xfId="8813" xr:uid="{27EDB24E-D915-43D6-A13E-E89A461A0AFF}"/>
    <cellStyle name="Sortie 2 3 2 12" xfId="6553" xr:uid="{95745EB2-6494-49CE-9E6C-FF6B9A442563}"/>
    <cellStyle name="Sortie 2 3 2 2" xfId="3481" xr:uid="{00000000-0005-0000-0000-0000BF140000}"/>
    <cellStyle name="Sortie 2 3 2 2 2" xfId="3715" xr:uid="{00000000-0005-0000-0000-0000C0140000}"/>
    <cellStyle name="Sortie 2 3 2 2 2 2" xfId="7197" xr:uid="{A8D38D4F-0AA2-4227-9485-2A172A4C4F31}"/>
    <cellStyle name="Sortie 2 3 2 2 3" xfId="4854" xr:uid="{00000000-0005-0000-0000-0000C1140000}"/>
    <cellStyle name="Sortie 2 3 2 2 3 2" xfId="7876" xr:uid="{FA1B0A78-9941-444A-BF41-EFB13D8288E8}"/>
    <cellStyle name="Sortie 2 3 2 2 4" xfId="7073" xr:uid="{41BA7195-BD52-4F2C-B4C9-379117B957FC}"/>
    <cellStyle name="Sortie 2 3 2 3" xfId="2652" xr:uid="{00000000-0005-0000-0000-0000C2140000}"/>
    <cellStyle name="Sortie 2 3 2 3 2" xfId="4855" xr:uid="{00000000-0005-0000-0000-0000C3140000}"/>
    <cellStyle name="Sortie 2 3 2 3 2 2" xfId="7877" xr:uid="{088F45E6-2BE4-4EBE-90D4-DE1BBC690965}"/>
    <cellStyle name="Sortie 2 3 2 3 3" xfId="6855" xr:uid="{A193D1F8-A190-41F9-805C-613E21019F2E}"/>
    <cellStyle name="Sortie 2 3 2 4" xfId="3626" xr:uid="{00000000-0005-0000-0000-0000C4140000}"/>
    <cellStyle name="Sortie 2 3 2 4 2" xfId="7113" xr:uid="{61B9F248-4DD2-4D37-9FF6-4D47361B9AB4}"/>
    <cellStyle name="Sortie 2 3 2 5" xfId="2629" xr:uid="{00000000-0005-0000-0000-0000C5140000}"/>
    <cellStyle name="Sortie 2 3 2 5 2" xfId="6843" xr:uid="{F86A15FB-4AD8-44B5-BDDB-2D64BD1DD99F}"/>
    <cellStyle name="Sortie 2 3 2 6" xfId="4853" xr:uid="{00000000-0005-0000-0000-0000C6140000}"/>
    <cellStyle name="Sortie 2 3 2 6 2" xfId="7875" xr:uid="{52009993-D72B-4C46-ACB8-DD968EA2E2C8}"/>
    <cellStyle name="Sortie 2 3 2 7" xfId="4767" xr:uid="{00000000-0005-0000-0000-0000C7140000}"/>
    <cellStyle name="Sortie 2 3 2 7 2" xfId="7837" xr:uid="{28B21122-1883-4641-BE6A-A65356AE50B5}"/>
    <cellStyle name="Sortie 2 3 2 8" xfId="5515" xr:uid="{00000000-0005-0000-0000-0000C8140000}"/>
    <cellStyle name="Sortie 2 3 2 8 2" xfId="8421" xr:uid="{8D12886E-2250-4306-A97E-2DEB00573C74}"/>
    <cellStyle name="Sortie 2 3 2 9" xfId="5591" xr:uid="{00000000-0005-0000-0000-0000C9140000}"/>
    <cellStyle name="Sortie 2 3 2 9 2" xfId="8484" xr:uid="{FF4D16BC-AC04-4D2D-A762-3FEB9D1CFD59}"/>
    <cellStyle name="Sortie 2 3 3" xfId="1795" xr:uid="{00000000-0005-0000-0000-0000CA140000}"/>
    <cellStyle name="Sortie 2 3 3 2" xfId="3674" xr:uid="{00000000-0005-0000-0000-0000CB140000}"/>
    <cellStyle name="Sortie 2 3 3 2 2" xfId="7156" xr:uid="{767BAE9A-3136-406E-9F60-9B37601B1A24}"/>
    <cellStyle name="Sortie 2 3 3 3" xfId="4856" xr:uid="{00000000-0005-0000-0000-0000CC140000}"/>
    <cellStyle name="Sortie 2 3 3 3 2" xfId="7878" xr:uid="{D1DEAF69-DE0D-48F2-952C-AA13010E832B}"/>
    <cellStyle name="Sortie 2 3 3 4" xfId="6554" xr:uid="{7EC215A9-29B1-49EF-B5A8-651B4EBFE1CF}"/>
    <cellStyle name="Sortie 2 3 4" xfId="2651" xr:uid="{00000000-0005-0000-0000-0000CD140000}"/>
    <cellStyle name="Sortie 2 3 4 2" xfId="6854" xr:uid="{8021FC9C-944B-4AA8-8C7E-A708FF161196}"/>
    <cellStyle name="Sortie 2 3 5" xfId="2267" xr:uid="{00000000-0005-0000-0000-0000CE140000}"/>
    <cellStyle name="Sortie 2 3 5 2" xfId="6694" xr:uid="{AA5C12C1-A708-4FA7-BA7E-67DD74FAC028}"/>
    <cellStyle name="Sortie 2 3 6" xfId="2571" xr:uid="{00000000-0005-0000-0000-0000CF140000}"/>
    <cellStyle name="Sortie 2 3 6 2" xfId="6825" xr:uid="{B7F5C30D-1EB4-4D7F-AEBE-FC33CC41A3E7}"/>
    <cellStyle name="Sortie 2 3 7" xfId="4112" xr:uid="{00000000-0005-0000-0000-0000D0140000}"/>
    <cellStyle name="Sortie 2 3 7 2" xfId="7385" xr:uid="{BC601AD2-2887-440C-BACB-240FF47B7BB7}"/>
    <cellStyle name="Sortie 2 3 8" xfId="4804" xr:uid="{00000000-0005-0000-0000-0000D1140000}"/>
    <cellStyle name="Sortie 2 3 8 2" xfId="7869" xr:uid="{959A5A1A-265B-43AE-9475-7F4BD6631884}"/>
    <cellStyle name="Sortie 2 3 9" xfId="669" xr:uid="{00000000-0005-0000-0000-0000D2140000}"/>
    <cellStyle name="Sortie 2 3 9 2" xfId="6338" xr:uid="{146BB6BD-1D79-4CB9-9D97-479048946351}"/>
    <cellStyle name="Sortie 2 4" xfId="1796" xr:uid="{00000000-0005-0000-0000-0000D3140000}"/>
    <cellStyle name="Sortie 2 4 10" xfId="6013" xr:uid="{00000000-0005-0000-0000-0000D4140000}"/>
    <cellStyle name="Sortie 2 4 10 2" xfId="8814" xr:uid="{673808D8-DB9B-491B-8DBA-5B6003AB8205}"/>
    <cellStyle name="Sortie 2 4 11" xfId="6555" xr:uid="{5A99E9C2-8130-482D-96EA-FE7CB1AB16E9}"/>
    <cellStyle name="Sortie 2 4 2" xfId="1797" xr:uid="{00000000-0005-0000-0000-0000D5140000}"/>
    <cellStyle name="Sortie 2 4 2 10" xfId="5970" xr:uid="{00000000-0005-0000-0000-0000D6140000}"/>
    <cellStyle name="Sortie 2 4 2 10 2" xfId="8778" xr:uid="{761109AD-D865-490D-A97A-1A5F5F4F67EF}"/>
    <cellStyle name="Sortie 2 4 2 11" xfId="6014" xr:uid="{00000000-0005-0000-0000-0000D7140000}"/>
    <cellStyle name="Sortie 2 4 2 11 2" xfId="8815" xr:uid="{06930D7F-2E8D-4FFB-A3E8-879D05C8F1BC}"/>
    <cellStyle name="Sortie 2 4 2 12" xfId="6556" xr:uid="{77A80E44-F22C-483B-89F0-8D2EF8AB2FA2}"/>
    <cellStyle name="Sortie 2 4 2 2" xfId="3482" xr:uid="{00000000-0005-0000-0000-0000D8140000}"/>
    <cellStyle name="Sortie 2 4 2 2 2" xfId="3716" xr:uid="{00000000-0005-0000-0000-0000D9140000}"/>
    <cellStyle name="Sortie 2 4 2 2 2 2" xfId="7198" xr:uid="{2A69542A-0B3E-4E76-A4FF-086348DFBB1E}"/>
    <cellStyle name="Sortie 2 4 2 2 3" xfId="4858" xr:uid="{00000000-0005-0000-0000-0000DA140000}"/>
    <cellStyle name="Sortie 2 4 2 2 3 2" xfId="7880" xr:uid="{3944DC0E-9ABF-4D06-A18B-9E9FC1B7B759}"/>
    <cellStyle name="Sortie 2 4 2 2 4" xfId="7074" xr:uid="{CA2B41F3-5DA0-4F13-9522-ED890C4112FA}"/>
    <cellStyle name="Sortie 2 4 2 3" xfId="2654" xr:uid="{00000000-0005-0000-0000-0000DB140000}"/>
    <cellStyle name="Sortie 2 4 2 3 2" xfId="4859" xr:uid="{00000000-0005-0000-0000-0000DC140000}"/>
    <cellStyle name="Sortie 2 4 2 3 2 2" xfId="7881" xr:uid="{8DB41020-27E5-46A7-9B9A-BBAF28D26FE1}"/>
    <cellStyle name="Sortie 2 4 2 3 3" xfId="6857" xr:uid="{FCDD1399-B431-460F-B92D-83C86BE5A74F}"/>
    <cellStyle name="Sortie 2 4 2 4" xfId="3627" xr:uid="{00000000-0005-0000-0000-0000DD140000}"/>
    <cellStyle name="Sortie 2 4 2 4 2" xfId="7114" xr:uid="{F5BF74EE-1631-4F4B-A861-0954B9D28FCE}"/>
    <cellStyle name="Sortie 2 4 2 5" xfId="2745" xr:uid="{00000000-0005-0000-0000-0000DE140000}"/>
    <cellStyle name="Sortie 2 4 2 5 2" xfId="6898" xr:uid="{27914344-D012-4D6F-AA69-57F665B78072}"/>
    <cellStyle name="Sortie 2 4 2 6" xfId="4857" xr:uid="{00000000-0005-0000-0000-0000DF140000}"/>
    <cellStyle name="Sortie 2 4 2 6 2" xfId="7879" xr:uid="{EE73F453-A4A6-4121-806C-F4635D82B301}"/>
    <cellStyle name="Sortie 2 4 2 7" xfId="4928" xr:uid="{00000000-0005-0000-0000-0000E0140000}"/>
    <cellStyle name="Sortie 2 4 2 7 2" xfId="7920" xr:uid="{D13566FC-5B57-4E55-B94D-19C0826EAFCE}"/>
    <cellStyle name="Sortie 2 4 2 8" xfId="5516" xr:uid="{00000000-0005-0000-0000-0000E1140000}"/>
    <cellStyle name="Sortie 2 4 2 8 2" xfId="8422" xr:uid="{74F4BF1B-AC36-4FAD-80B6-0F54CC4D5AEA}"/>
    <cellStyle name="Sortie 2 4 2 9" xfId="5590" xr:uid="{00000000-0005-0000-0000-0000E2140000}"/>
    <cellStyle name="Sortie 2 4 2 9 2" xfId="8483" xr:uid="{02BDE6AE-15D9-4A83-825B-244852FB8542}"/>
    <cellStyle name="Sortie 2 4 3" xfId="1798" xr:uid="{00000000-0005-0000-0000-0000E3140000}"/>
    <cellStyle name="Sortie 2 4 3 2" xfId="3675" xr:uid="{00000000-0005-0000-0000-0000E4140000}"/>
    <cellStyle name="Sortie 2 4 3 2 2" xfId="7157" xr:uid="{6FAD1E1C-507E-4315-959C-BCEB7C763A55}"/>
    <cellStyle name="Sortie 2 4 3 3" xfId="4860" xr:uid="{00000000-0005-0000-0000-0000E5140000}"/>
    <cellStyle name="Sortie 2 4 3 3 2" xfId="7882" xr:uid="{BA1FE8E4-CB46-41BA-B541-EAFDB1B4F5A7}"/>
    <cellStyle name="Sortie 2 4 3 4" xfId="6557" xr:uid="{FAB7691E-DFD8-4720-91A3-69DA1AE49E8E}"/>
    <cellStyle name="Sortie 2 4 4" xfId="2653" xr:uid="{00000000-0005-0000-0000-0000E6140000}"/>
    <cellStyle name="Sortie 2 4 4 2" xfId="6856" xr:uid="{12B54B54-4348-45A7-93F9-753CD234C169}"/>
    <cellStyle name="Sortie 2 4 5" xfId="2195" xr:uid="{00000000-0005-0000-0000-0000E7140000}"/>
    <cellStyle name="Sortie 2 4 5 2" xfId="6663" xr:uid="{92581CCD-207E-4550-8434-4A2DD7F61569}"/>
    <cellStyle name="Sortie 2 4 6" xfId="2139" xr:uid="{00000000-0005-0000-0000-0000E8140000}"/>
    <cellStyle name="Sortie 2 4 6 2" xfId="6646" xr:uid="{5D4DFE3A-CA79-4641-BA7C-27C8EDE26814}"/>
    <cellStyle name="Sortie 2 4 7" xfId="4125" xr:uid="{00000000-0005-0000-0000-0000E9140000}"/>
    <cellStyle name="Sortie 2 4 7 2" xfId="7398" xr:uid="{C020913F-CE3B-4B0D-A30D-0C6F29C01F82}"/>
    <cellStyle name="Sortie 2 4 8" xfId="4807" xr:uid="{00000000-0005-0000-0000-0000EA140000}"/>
    <cellStyle name="Sortie 2 4 8 2" xfId="7872" xr:uid="{9B30FE50-9FB3-4B61-986B-2C914CCD12E5}"/>
    <cellStyle name="Sortie 2 4 9" xfId="5969" xr:uid="{00000000-0005-0000-0000-0000EB140000}"/>
    <cellStyle name="Sortie 2 4 9 2" xfId="8777" xr:uid="{6CDC1633-AE21-4E9E-8E7C-FC38E54BB6CB}"/>
    <cellStyle name="Sortie 2 5" xfId="1799" xr:uid="{00000000-0005-0000-0000-0000EC140000}"/>
    <cellStyle name="Sortie 2 5 2" xfId="2655" xr:uid="{00000000-0005-0000-0000-0000ED140000}"/>
    <cellStyle name="Sortie 2 5 2 2" xfId="4861" xr:uid="{00000000-0005-0000-0000-0000EE140000}"/>
    <cellStyle name="Sortie 2 5 2 2 2" xfId="7883" xr:uid="{75EE6589-C80E-4585-A147-F824E68D93B0}"/>
    <cellStyle name="Sortie 2 5 2 3" xfId="5972" xr:uid="{00000000-0005-0000-0000-0000EF140000}"/>
    <cellStyle name="Sortie 2 5 2 3 2" xfId="8780" xr:uid="{56233BB3-89B1-4271-9CF2-BE98F22641BD}"/>
    <cellStyle name="Sortie 2 5 2 4" xfId="6016" xr:uid="{00000000-0005-0000-0000-0000F0140000}"/>
    <cellStyle name="Sortie 2 5 2 4 2" xfId="8817" xr:uid="{1BFA650D-1662-495E-BD6B-987C0C1897DF}"/>
    <cellStyle name="Sortie 2 5 2 5" xfId="6858" xr:uid="{B9170815-5DF7-44A1-9D24-708353DBB5B2}"/>
    <cellStyle name="Sortie 2 5 3" xfId="2552" xr:uid="{00000000-0005-0000-0000-0000F1140000}"/>
    <cellStyle name="Sortie 2 5 3 2" xfId="6822" xr:uid="{EADDA22C-2CA4-40C2-830C-B775D53CF871}"/>
    <cellStyle name="Sortie 2 5 4" xfId="2016" xr:uid="{00000000-0005-0000-0000-0000F2140000}"/>
    <cellStyle name="Sortie 2 5 4 2" xfId="6602" xr:uid="{0C373C13-5972-4D3E-83BD-34DD8518E45D}"/>
    <cellStyle name="Sortie 2 5 5" xfId="5517" xr:uid="{00000000-0005-0000-0000-0000F3140000}"/>
    <cellStyle name="Sortie 2 5 5 2" xfId="8423" xr:uid="{85FA6B1F-A44F-4FBD-8AE7-F0CE05D15382}"/>
    <cellStyle name="Sortie 2 5 6" xfId="5971" xr:uid="{00000000-0005-0000-0000-0000F4140000}"/>
    <cellStyle name="Sortie 2 5 6 2" xfId="8779" xr:uid="{6B740644-7D5F-44B1-8C23-E6AAB6B5BD67}"/>
    <cellStyle name="Sortie 2 5 7" xfId="6015" xr:uid="{00000000-0005-0000-0000-0000F5140000}"/>
    <cellStyle name="Sortie 2 5 7 2" xfId="8816" xr:uid="{02130FAD-AD6F-42D4-98C7-FC15DEAC8027}"/>
    <cellStyle name="Sortie 2 5 8" xfId="6558" xr:uid="{78A48F36-9908-467B-8E76-DB4B081A6EEA}"/>
    <cellStyle name="Sortie 2 6" xfId="1800" xr:uid="{00000000-0005-0000-0000-0000F6140000}"/>
    <cellStyle name="Sortie 2 6 2" xfId="2656" xr:uid="{00000000-0005-0000-0000-0000F7140000}"/>
    <cellStyle name="Sortie 2 6 2 2" xfId="6859" xr:uid="{9C6F4262-8915-48FE-8C92-6AE25F105064}"/>
    <cellStyle name="Sortie 2 6 3" xfId="4862" xr:uid="{00000000-0005-0000-0000-0000F8140000}"/>
    <cellStyle name="Sortie 2 6 3 2" xfId="7884" xr:uid="{8F3A3832-938D-448D-848E-B55C5778A21A}"/>
    <cellStyle name="Sortie 2 6 4" xfId="5518" xr:uid="{00000000-0005-0000-0000-0000F9140000}"/>
    <cellStyle name="Sortie 2 6 4 2" xfId="8424" xr:uid="{71583B47-A0CF-4634-A7C1-C9E33E732D8E}"/>
    <cellStyle name="Sortie 2 6 5" xfId="5973" xr:uid="{00000000-0005-0000-0000-0000FA140000}"/>
    <cellStyle name="Sortie 2 6 5 2" xfId="8781" xr:uid="{AD41F89D-72F5-4EC8-85EC-29DC3604D755}"/>
    <cellStyle name="Sortie 2 6 6" xfId="6017" xr:uid="{00000000-0005-0000-0000-0000FB140000}"/>
    <cellStyle name="Sortie 2 6 6 2" xfId="8818" xr:uid="{59109BFB-D4F6-4FE0-9763-39D0D610605D}"/>
    <cellStyle name="Sortie 2 6 7" xfId="6559" xr:uid="{099CF439-0812-4A7B-B1F8-AE6A0703A4D3}"/>
    <cellStyle name="Sortie 2 7" xfId="1801" xr:uid="{00000000-0005-0000-0000-0000FC140000}"/>
    <cellStyle name="Sortie 2 7 2" xfId="1802" xr:uid="{00000000-0005-0000-0000-0000FD140000}"/>
    <cellStyle name="Sortie 2 7 2 2" xfId="2658" xr:uid="{00000000-0005-0000-0000-0000FE140000}"/>
    <cellStyle name="Sortie 2 7 2 2 2" xfId="6861" xr:uid="{CB3240AB-7544-4F9C-B327-8B3331A60B1F}"/>
    <cellStyle name="Sortie 2 7 2 3" xfId="4864" xr:uid="{00000000-0005-0000-0000-0000FF140000}"/>
    <cellStyle name="Sortie 2 7 2 3 2" xfId="7886" xr:uid="{95582A39-F1BE-4819-9A76-962DB3C55CE5}"/>
    <cellStyle name="Sortie 2 7 2 4" xfId="5520" xr:uid="{00000000-0005-0000-0000-000000150000}"/>
    <cellStyle name="Sortie 2 7 2 4 2" xfId="8426" xr:uid="{162FA4D0-770D-4523-8AF8-197067D56B9B}"/>
    <cellStyle name="Sortie 2 7 2 5" xfId="6561" xr:uid="{1D3C68A3-0B63-4B50-A2F0-37F38654CEB0}"/>
    <cellStyle name="Sortie 2 7 3" xfId="2657" xr:uid="{00000000-0005-0000-0000-000001150000}"/>
    <cellStyle name="Sortie 2 7 3 2" xfId="6860" xr:uid="{749A2498-B4FF-47DB-AD1C-8AD579B3EE63}"/>
    <cellStyle name="Sortie 2 7 4" xfId="4863" xr:uid="{00000000-0005-0000-0000-000002150000}"/>
    <cellStyle name="Sortie 2 7 4 2" xfId="7885" xr:uid="{E5C3E83A-DFC4-4F13-92C4-662B44009B14}"/>
    <cellStyle name="Sortie 2 7 5" xfId="5519" xr:uid="{00000000-0005-0000-0000-000003150000}"/>
    <cellStyle name="Sortie 2 7 5 2" xfId="8425" xr:uid="{F30CA7DB-961A-4582-A5FB-90D95B5E8A18}"/>
    <cellStyle name="Sortie 2 7 6" xfId="6560" xr:uid="{2B622636-CDAF-4D19-A344-BCE7C71C3EC8}"/>
    <cellStyle name="Sortie 2 8" xfId="1803" xr:uid="{00000000-0005-0000-0000-000004150000}"/>
    <cellStyle name="Sortie 2 8 2" xfId="2659" xr:uid="{00000000-0005-0000-0000-000005150000}"/>
    <cellStyle name="Sortie 2 8 2 2" xfId="4866" xr:uid="{00000000-0005-0000-0000-000006150000}"/>
    <cellStyle name="Sortie 2 8 2 2 2" xfId="7888" xr:uid="{09796D88-F725-4423-8E45-0C01D33DF9AA}"/>
    <cellStyle name="Sortie 2 8 2 3" xfId="6862" xr:uid="{5EC58FEB-C9A9-4513-8CB6-E5EE463C0B40}"/>
    <cellStyle name="Sortie 2 8 3" xfId="4865" xr:uid="{00000000-0005-0000-0000-000007150000}"/>
    <cellStyle name="Sortie 2 8 3 2" xfId="7887" xr:uid="{E7369AB3-1C1B-4658-9A2D-BEF721AA9C8E}"/>
    <cellStyle name="Sortie 2 8 4" xfId="5521" xr:uid="{00000000-0005-0000-0000-000008150000}"/>
    <cellStyle name="Sortie 2 8 4 2" xfId="8427" xr:uid="{EA1B36D4-6464-45FC-A54D-9C2DDDF68B14}"/>
    <cellStyle name="Sortie 2 8 5" xfId="6562" xr:uid="{E8AB13F7-01F1-498C-9BB5-823AE3B7E01B}"/>
    <cellStyle name="Sortie 2 9" xfId="1804" xr:uid="{00000000-0005-0000-0000-000009150000}"/>
    <cellStyle name="Sortie 2 9 2" xfId="4867" xr:uid="{00000000-0005-0000-0000-00000A150000}"/>
    <cellStyle name="Sortie 2 9 2 2" xfId="7889" xr:uid="{0A03E94A-3BA5-4D64-B0DE-9A3FE6E67C50}"/>
    <cellStyle name="Sortie 2 9 3" xfId="6563" xr:uid="{D9F71D77-9C28-4B0A-A319-0777044D5A2D}"/>
    <cellStyle name="Sortie 3" xfId="515" xr:uid="{00000000-0005-0000-0000-00000B150000}"/>
    <cellStyle name="Sortie 3 10" xfId="4791" xr:uid="{00000000-0005-0000-0000-00000C150000}"/>
    <cellStyle name="Sortie 3 10 2" xfId="7860" xr:uid="{DDB64C97-D6D0-4F77-B0FF-D9F6A7AD4EB0}"/>
    <cellStyle name="Sortie 3 11" xfId="631" xr:uid="{00000000-0005-0000-0000-00000D150000}"/>
    <cellStyle name="Sortie 3 11 2" xfId="6317" xr:uid="{CBA3DAB2-0232-4FD0-95FA-6DB84CAB5758}"/>
    <cellStyle name="Sortie 3 12" xfId="5974" xr:uid="{00000000-0005-0000-0000-00000E150000}"/>
    <cellStyle name="Sortie 3 12 2" xfId="8782" xr:uid="{647D9114-FBF1-4702-8D40-8E0549F3CDA1}"/>
    <cellStyle name="Sortie 3 13" xfId="6018" xr:uid="{00000000-0005-0000-0000-00000F150000}"/>
    <cellStyle name="Sortie 3 13 2" xfId="8819" xr:uid="{295B998D-E437-4FF7-9809-0FC0F112F77E}"/>
    <cellStyle name="Sortie 3 14" xfId="6284" xr:uid="{8B3DC7ED-F1CB-42BB-831F-B80A36EB06C0}"/>
    <cellStyle name="Sortie 3 2" xfId="1805" xr:uid="{00000000-0005-0000-0000-000010150000}"/>
    <cellStyle name="Sortie 3 2 10" xfId="5522" xr:uid="{00000000-0005-0000-0000-000011150000}"/>
    <cellStyle name="Sortie 3 2 10 2" xfId="8428" xr:uid="{E6CF4F79-21A2-4C41-ACF5-AF162C0CB142}"/>
    <cellStyle name="Sortie 3 2 11" xfId="5589" xr:uid="{00000000-0005-0000-0000-000012150000}"/>
    <cellStyle name="Sortie 3 2 11 2" xfId="8482" xr:uid="{54B5FD0A-B952-49EA-BEB7-09D84B434242}"/>
    <cellStyle name="Sortie 3 2 12" xfId="5975" xr:uid="{00000000-0005-0000-0000-000013150000}"/>
    <cellStyle name="Sortie 3 2 12 2" xfId="8783" xr:uid="{4DD2AB60-874E-4A89-901D-4B17D3646D59}"/>
    <cellStyle name="Sortie 3 2 13" xfId="6019" xr:uid="{00000000-0005-0000-0000-000014150000}"/>
    <cellStyle name="Sortie 3 2 13 2" xfId="8820" xr:uid="{35AA86EA-BCA9-429B-A3AA-CAAB8F8D3E5B}"/>
    <cellStyle name="Sortie 3 2 14" xfId="6564" xr:uid="{253D3F22-33FA-4D2B-8F17-F152F9E6738C}"/>
    <cellStyle name="Sortie 3 2 2" xfId="1806" xr:uid="{00000000-0005-0000-0000-000015150000}"/>
    <cellStyle name="Sortie 3 2 2 2" xfId="2662" xr:uid="{00000000-0005-0000-0000-000016150000}"/>
    <cellStyle name="Sortie 3 2 2 2 2" xfId="6865" xr:uid="{AEE25B92-601E-4CF6-9934-20592CF836A8}"/>
    <cellStyle name="Sortie 3 2 2 3" xfId="3717" xr:uid="{00000000-0005-0000-0000-000017150000}"/>
    <cellStyle name="Sortie 3 2 2 3 2" xfId="7199" xr:uid="{6382D785-CAF2-4B88-96AD-8BD12C4F2314}"/>
    <cellStyle name="Sortie 3 2 2 4" xfId="4869" xr:uid="{00000000-0005-0000-0000-000018150000}"/>
    <cellStyle name="Sortie 3 2 2 4 2" xfId="7891" xr:uid="{25E2CB9D-D8EB-4D4E-AAEB-6546450227C9}"/>
    <cellStyle name="Sortie 3 2 2 5" xfId="5523" xr:uid="{00000000-0005-0000-0000-000019150000}"/>
    <cellStyle name="Sortie 3 2 2 5 2" xfId="8429" xr:uid="{40AAE391-84CF-4F5E-8345-EC7888A175C1}"/>
    <cellStyle name="Sortie 3 2 2 6" xfId="6565" xr:uid="{5FC2EE1B-4657-400C-8864-B4D40CEB1620}"/>
    <cellStyle name="Sortie 3 2 3" xfId="3483" xr:uid="{00000000-0005-0000-0000-00001A150000}"/>
    <cellStyle name="Sortie 3 2 3 2" xfId="4870" xr:uid="{00000000-0005-0000-0000-00001B150000}"/>
    <cellStyle name="Sortie 3 2 3 2 2" xfId="7892" xr:uid="{824AF291-0288-48CE-8087-51003C8B716F}"/>
    <cellStyle name="Sortie 3 2 3 3" xfId="7075" xr:uid="{CC9CA98C-4EF8-48E9-88A6-54DA78941FAD}"/>
    <cellStyle name="Sortie 3 2 4" xfId="2661" xr:uid="{00000000-0005-0000-0000-00001C150000}"/>
    <cellStyle name="Sortie 3 2 4 2" xfId="4868" xr:uid="{00000000-0005-0000-0000-00001D150000}"/>
    <cellStyle name="Sortie 3 2 4 2 2" xfId="7890" xr:uid="{1CACC10E-DCB9-4DB4-BD1B-6BA1C29222A8}"/>
    <cellStyle name="Sortie 3 2 4 3" xfId="6864" xr:uid="{5BEEE5AD-4B9E-449A-A03A-86949DA0C788}"/>
    <cellStyle name="Sortie 3 2 5" xfId="3628" xr:uid="{00000000-0005-0000-0000-00001E150000}"/>
    <cellStyle name="Sortie 3 2 5 2" xfId="7115" xr:uid="{11B79CC9-FE3E-4838-807B-E59D38DFFA74}"/>
    <cellStyle name="Sortie 3 2 6" xfId="2219" xr:uid="{00000000-0005-0000-0000-00001F150000}"/>
    <cellStyle name="Sortie 3 2 6 2" xfId="6677" xr:uid="{3F729ECB-57C5-4304-AC8E-E070B413FB74}"/>
    <cellStyle name="Sortie 3 2 7" xfId="2511" xr:uid="{00000000-0005-0000-0000-000020150000}"/>
    <cellStyle name="Sortie 3 2 7 2" xfId="6818" xr:uid="{0C6B4ECA-D284-4FB8-99B1-CCD313F61BC2}"/>
    <cellStyle name="Sortie 3 2 8" xfId="4185" xr:uid="{00000000-0005-0000-0000-000021150000}"/>
    <cellStyle name="Sortie 3 2 8 2" xfId="7413" xr:uid="{BE03ACC1-E539-4718-BC33-98A41102728A}"/>
    <cellStyle name="Sortie 3 2 9" xfId="5048" xr:uid="{00000000-0005-0000-0000-000022150000}"/>
    <cellStyle name="Sortie 3 2 9 2" xfId="8010" xr:uid="{7FFC9B24-7C9D-4F69-86DB-9A0D6768F9F0}"/>
    <cellStyle name="Sortie 3 3" xfId="1807" xr:uid="{00000000-0005-0000-0000-000023150000}"/>
    <cellStyle name="Sortie 3 3 10" xfId="5588" xr:uid="{00000000-0005-0000-0000-000024150000}"/>
    <cellStyle name="Sortie 3 3 10 2" xfId="8481" xr:uid="{67028EC2-E263-4F1B-97F7-4C1A6B828F04}"/>
    <cellStyle name="Sortie 3 3 11" xfId="6566" xr:uid="{AD6B72F1-E3F8-432A-92F8-29AC803CFD5D}"/>
    <cellStyle name="Sortie 3 3 2" xfId="1808" xr:uid="{00000000-0005-0000-0000-000025150000}"/>
    <cellStyle name="Sortie 3 3 2 2" xfId="2664" xr:uid="{00000000-0005-0000-0000-000026150000}"/>
    <cellStyle name="Sortie 3 3 2 2 2" xfId="6867" xr:uid="{6F603FC2-D758-40BD-8463-E5F310C42859}"/>
    <cellStyle name="Sortie 3 3 2 3" xfId="3718" xr:uid="{00000000-0005-0000-0000-000027150000}"/>
    <cellStyle name="Sortie 3 3 2 3 2" xfId="7200" xr:uid="{BAC4B941-719D-44C7-B3D7-96A1CA575271}"/>
    <cellStyle name="Sortie 3 3 2 4" xfId="4872" xr:uid="{00000000-0005-0000-0000-000028150000}"/>
    <cellStyle name="Sortie 3 3 2 4 2" xfId="7894" xr:uid="{2AABBADC-E973-436A-A958-CCE55E250E90}"/>
    <cellStyle name="Sortie 3 3 2 5" xfId="5525" xr:uid="{00000000-0005-0000-0000-000029150000}"/>
    <cellStyle name="Sortie 3 3 2 5 2" xfId="8431" xr:uid="{45D45AFA-558E-4B35-B9BA-387D433C027F}"/>
    <cellStyle name="Sortie 3 3 2 6" xfId="6567" xr:uid="{387BA280-6A8F-44EC-8608-2189A9449F81}"/>
    <cellStyle name="Sortie 3 3 3" xfId="3484" xr:uid="{00000000-0005-0000-0000-00002A150000}"/>
    <cellStyle name="Sortie 3 3 3 2" xfId="4873" xr:uid="{00000000-0005-0000-0000-00002B150000}"/>
    <cellStyle name="Sortie 3 3 3 2 2" xfId="7895" xr:uid="{74B10A04-22B1-4FC1-8912-CC5B951545D9}"/>
    <cellStyle name="Sortie 3 3 3 3" xfId="7076" xr:uid="{B16A772C-DD05-45CC-9D1A-C461154A10B1}"/>
    <cellStyle name="Sortie 3 3 4" xfId="2663" xr:uid="{00000000-0005-0000-0000-00002C150000}"/>
    <cellStyle name="Sortie 3 3 4 2" xfId="6866" xr:uid="{1F785828-E12D-46A8-91B0-BA641B863788}"/>
    <cellStyle name="Sortie 3 3 5" xfId="3629" xr:uid="{00000000-0005-0000-0000-00002D150000}"/>
    <cellStyle name="Sortie 3 3 5 2" xfId="7116" xr:uid="{4E4FAC65-73C4-4693-9F7A-09B8368C0C5A}"/>
    <cellStyle name="Sortie 3 3 6" xfId="2220" xr:uid="{00000000-0005-0000-0000-00002E150000}"/>
    <cellStyle name="Sortie 3 3 6 2" xfId="6678" xr:uid="{337C312F-C65E-41DF-AE7C-3E78A8551D2D}"/>
    <cellStyle name="Sortie 3 3 7" xfId="4871" xr:uid="{00000000-0005-0000-0000-00002F150000}"/>
    <cellStyle name="Sortie 3 3 7 2" xfId="7893" xr:uid="{58052543-4B2D-485F-9B9E-DAF7208D3082}"/>
    <cellStyle name="Sortie 3 3 8" xfId="4124" xr:uid="{00000000-0005-0000-0000-000030150000}"/>
    <cellStyle name="Sortie 3 3 8 2" xfId="7397" xr:uid="{CC44A40D-8E00-4F92-B45D-2A105507583D}"/>
    <cellStyle name="Sortie 3 3 9" xfId="5524" xr:uid="{00000000-0005-0000-0000-000031150000}"/>
    <cellStyle name="Sortie 3 3 9 2" xfId="8430" xr:uid="{2DEB73F7-84BE-413D-A6C3-C8885E47E36C}"/>
    <cellStyle name="Sortie 3 4" xfId="1809" xr:uid="{00000000-0005-0000-0000-000032150000}"/>
    <cellStyle name="Sortie 3 4 2" xfId="2665" xr:uid="{00000000-0005-0000-0000-000033150000}"/>
    <cellStyle name="Sortie 3 4 2 2" xfId="4874" xr:uid="{00000000-0005-0000-0000-000034150000}"/>
    <cellStyle name="Sortie 3 4 2 2 2" xfId="7896" xr:uid="{48662F82-DD22-4604-A79F-EB5DC9EB0F8A}"/>
    <cellStyle name="Sortie 3 4 2 3" xfId="6868" xr:uid="{D80F498C-734E-4C3B-927E-CC5977DEBBF8}"/>
    <cellStyle name="Sortie 3 4 3" xfId="2194" xr:uid="{00000000-0005-0000-0000-000035150000}"/>
    <cellStyle name="Sortie 3 4 3 2" xfId="6662" xr:uid="{C2A8705E-AD34-47B4-A100-A1E4DA33FD50}"/>
    <cellStyle name="Sortie 3 4 4" xfId="5216" xr:uid="{00000000-0005-0000-0000-000036150000}"/>
    <cellStyle name="Sortie 3 4 4 2" xfId="8158" xr:uid="{C2180333-19BB-4BAF-BBC5-1ABBD641EEBD}"/>
    <cellStyle name="Sortie 3 4 5" xfId="5526" xr:uid="{00000000-0005-0000-0000-000037150000}"/>
    <cellStyle name="Sortie 3 4 5 2" xfId="8432" xr:uid="{8965300E-42AB-4A45-BED6-F01DCAA8409C}"/>
    <cellStyle name="Sortie 3 4 6" xfId="6568" xr:uid="{6985AD0E-DB19-45CD-AD8C-E6AABED1F5FA}"/>
    <cellStyle name="Sortie 3 5" xfId="1810" xr:uid="{00000000-0005-0000-0000-000038150000}"/>
    <cellStyle name="Sortie 3 5 2" xfId="3907" xr:uid="{00000000-0005-0000-0000-000039150000}"/>
    <cellStyle name="Sortie 3 5 2 2" xfId="7256" xr:uid="{BB0A493E-DD5F-4E6A-94D4-D770869F15C7}"/>
    <cellStyle name="Sortie 3 5 3" xfId="4875" xr:uid="{00000000-0005-0000-0000-00003A150000}"/>
    <cellStyle name="Sortie 3 5 3 2" xfId="7897" xr:uid="{2F757D94-B455-47CB-8E6B-EA4B12C7BB4D}"/>
    <cellStyle name="Sortie 3 5 4" xfId="5210" xr:uid="{00000000-0005-0000-0000-00003B150000}"/>
    <cellStyle name="Sortie 3 5 4 2" xfId="8154" xr:uid="{F3138627-1B44-4436-9767-1379C19D0527}"/>
    <cellStyle name="Sortie 3 5 5" xfId="6569" xr:uid="{157E8A56-FCB6-4521-B6F5-C80DD7918E1F}"/>
    <cellStyle name="Sortie 3 6" xfId="2660" xr:uid="{00000000-0005-0000-0000-00003C150000}"/>
    <cellStyle name="Sortie 3 6 2" xfId="6863" xr:uid="{6C1033A1-201D-4EBE-A943-02DF627834A6}"/>
    <cellStyle name="Sortie 3 7" xfId="2792" xr:uid="{00000000-0005-0000-0000-00003D150000}"/>
    <cellStyle name="Sortie 3 7 2" xfId="6931" xr:uid="{F0292780-9FA4-4DFD-9D51-9974FA1D66B8}"/>
    <cellStyle name="Sortie 3 8" xfId="3763" xr:uid="{00000000-0005-0000-0000-00003E150000}"/>
    <cellStyle name="Sortie 3 8 2" xfId="7223" xr:uid="{E1ABB42C-62F1-4A3C-BAA3-20328142DBE2}"/>
    <cellStyle name="Sortie 3 9" xfId="4635" xr:uid="{00000000-0005-0000-0000-00003F150000}"/>
    <cellStyle name="Sortie 3 9 2" xfId="7801" xr:uid="{D54A6B59-E005-41CC-B0DB-80C9B0955381}"/>
    <cellStyle name="Sortie 4" xfId="516" xr:uid="{00000000-0005-0000-0000-000040150000}"/>
    <cellStyle name="Sortie 4 10" xfId="671" xr:uid="{00000000-0005-0000-0000-000041150000}"/>
    <cellStyle name="Sortie 4 10 2" xfId="6340" xr:uid="{715D70BB-BC3B-45F7-92C5-52D5FCF907C1}"/>
    <cellStyle name="Sortie 4 11" xfId="5976" xr:uid="{00000000-0005-0000-0000-000042150000}"/>
    <cellStyle name="Sortie 4 11 2" xfId="8784" xr:uid="{03335C50-EE99-4C56-9FDE-52252DD52E98}"/>
    <cellStyle name="Sortie 4 12" xfId="6020" xr:uid="{00000000-0005-0000-0000-000043150000}"/>
    <cellStyle name="Sortie 4 12 2" xfId="8821" xr:uid="{888CA595-F9CF-4859-AFBC-94E87115DF61}"/>
    <cellStyle name="Sortie 4 13" xfId="6285" xr:uid="{EC23D94A-48B2-4134-8D06-627B91B9325E}"/>
    <cellStyle name="Sortie 4 2" xfId="1811" xr:uid="{00000000-0005-0000-0000-000044150000}"/>
    <cellStyle name="Sortie 4 2 10" xfId="5977" xr:uid="{00000000-0005-0000-0000-000045150000}"/>
    <cellStyle name="Sortie 4 2 10 2" xfId="8785" xr:uid="{418A5DE3-6965-4D93-8AF2-51FBA8EC4C1A}"/>
    <cellStyle name="Sortie 4 2 11" xfId="6021" xr:uid="{00000000-0005-0000-0000-000046150000}"/>
    <cellStyle name="Sortie 4 2 11 2" xfId="8822" xr:uid="{FCD53941-3F24-488C-801B-A81BF8DC046B}"/>
    <cellStyle name="Sortie 4 2 12" xfId="6570" xr:uid="{FD4AC262-D880-491C-B7B1-E429B931000A}"/>
    <cellStyle name="Sortie 4 2 2" xfId="3485" xr:uid="{00000000-0005-0000-0000-000047150000}"/>
    <cellStyle name="Sortie 4 2 2 2" xfId="3719" xr:uid="{00000000-0005-0000-0000-000048150000}"/>
    <cellStyle name="Sortie 4 2 2 2 2" xfId="7201" xr:uid="{6D223980-C052-40BE-AB75-305B98201CD7}"/>
    <cellStyle name="Sortie 4 2 2 3" xfId="4877" xr:uid="{00000000-0005-0000-0000-000049150000}"/>
    <cellStyle name="Sortie 4 2 2 3 2" xfId="7899" xr:uid="{F9BC0EAE-C3C6-44E5-8F6B-E7D5B76178A2}"/>
    <cellStyle name="Sortie 4 2 2 4" xfId="7077" xr:uid="{8ED8311C-1D6F-4D5A-9765-144C1ACF8720}"/>
    <cellStyle name="Sortie 4 2 3" xfId="2667" xr:uid="{00000000-0005-0000-0000-00004A150000}"/>
    <cellStyle name="Sortie 4 2 3 2" xfId="6870" xr:uid="{CD807754-A3CF-4094-B646-48E89AA83DF4}"/>
    <cellStyle name="Sortie 4 2 4" xfId="3630" xr:uid="{00000000-0005-0000-0000-00004B150000}"/>
    <cellStyle name="Sortie 4 2 4 2" xfId="7117" xr:uid="{B9EDD69C-4D20-4FF8-8650-792E53B8C9A4}"/>
    <cellStyle name="Sortie 4 2 5" xfId="2140" xr:uid="{00000000-0005-0000-0000-00004C150000}"/>
    <cellStyle name="Sortie 4 2 5 2" xfId="6647" xr:uid="{A6F1C7D9-EE18-447E-97EB-37672D44A8B2}"/>
    <cellStyle name="Sortie 4 2 6" xfId="4876" xr:uid="{00000000-0005-0000-0000-00004D150000}"/>
    <cellStyle name="Sortie 4 2 6 2" xfId="7898" xr:uid="{3AF38CC9-560E-43CB-AE63-0F74366AF514}"/>
    <cellStyle name="Sortie 4 2 7" xfId="4929" xr:uid="{00000000-0005-0000-0000-00004E150000}"/>
    <cellStyle name="Sortie 4 2 7 2" xfId="7921" xr:uid="{38DD93D3-B45E-403E-9CFA-62042F5B67B6}"/>
    <cellStyle name="Sortie 4 2 8" xfId="5527" xr:uid="{00000000-0005-0000-0000-00004F150000}"/>
    <cellStyle name="Sortie 4 2 8 2" xfId="8433" xr:uid="{8367B97B-196D-45CE-B533-AE36B39965A1}"/>
    <cellStyle name="Sortie 4 2 9" xfId="5587" xr:uid="{00000000-0005-0000-0000-000050150000}"/>
    <cellStyle name="Sortie 4 2 9 2" xfId="8480" xr:uid="{1F8A31DD-DB9F-41C2-B3E6-B3732AE61DE3}"/>
    <cellStyle name="Sortie 4 3" xfId="1812" xr:uid="{00000000-0005-0000-0000-000051150000}"/>
    <cellStyle name="Sortie 4 3 2" xfId="2668" xr:uid="{00000000-0005-0000-0000-000052150000}"/>
    <cellStyle name="Sortie 4 3 2 2" xfId="4878" xr:uid="{00000000-0005-0000-0000-000053150000}"/>
    <cellStyle name="Sortie 4 3 2 2 2" xfId="7900" xr:uid="{3101904D-CCAD-48B7-A2D8-22C44B24D6FF}"/>
    <cellStyle name="Sortie 4 3 2 3" xfId="6871" xr:uid="{8F77D6A1-3839-4BD6-B94A-B677D310E88E}"/>
    <cellStyle name="Sortie 4 3 3" xfId="2193" xr:uid="{00000000-0005-0000-0000-000054150000}"/>
    <cellStyle name="Sortie 4 3 3 2" xfId="6661" xr:uid="{1EE44EC6-60D7-44D8-905E-AF4C71051027}"/>
    <cellStyle name="Sortie 4 3 4" xfId="5528" xr:uid="{00000000-0005-0000-0000-000055150000}"/>
    <cellStyle name="Sortie 4 3 4 2" xfId="8434" xr:uid="{20F11BBF-ACAB-4052-BC61-76E378F30796}"/>
    <cellStyle name="Sortie 4 3 5" xfId="6571" xr:uid="{51282245-CF08-4E93-BA39-A02FEB531064}"/>
    <cellStyle name="Sortie 4 4" xfId="1813" xr:uid="{00000000-0005-0000-0000-000056150000}"/>
    <cellStyle name="Sortie 4 4 2" xfId="4879" xr:uid="{00000000-0005-0000-0000-000057150000}"/>
    <cellStyle name="Sortie 4 4 2 2" xfId="7901" xr:uid="{C41D7B6C-82DB-47A4-8BCC-AA47837B7E0E}"/>
    <cellStyle name="Sortie 4 4 3" xfId="6572" xr:uid="{5DB6FE18-EC4B-4CF6-953E-93C4B39B668F}"/>
    <cellStyle name="Sortie 4 5" xfId="2666" xr:uid="{00000000-0005-0000-0000-000058150000}"/>
    <cellStyle name="Sortie 4 5 2" xfId="6869" xr:uid="{149FA7F5-19F4-4C57-8D43-E6FDFA4BFC5F}"/>
    <cellStyle name="Sortie 4 6" xfId="2618" xr:uid="{00000000-0005-0000-0000-000059150000}"/>
    <cellStyle name="Sortie 4 6 2" xfId="6839" xr:uid="{63B535E3-EC43-4D41-9B1E-B3E6BC9F8BB0}"/>
    <cellStyle name="Sortie 4 7" xfId="2054" xr:uid="{00000000-0005-0000-0000-00005A150000}"/>
    <cellStyle name="Sortie 4 7 2" xfId="6621" xr:uid="{2870A1D8-280D-4E7A-AF51-D8DE85BEB070}"/>
    <cellStyle name="Sortie 4 8" xfId="4789" xr:uid="{00000000-0005-0000-0000-00005B150000}"/>
    <cellStyle name="Sortie 4 8 2" xfId="7858" xr:uid="{245F8D7B-27A4-40EA-AB3B-E8C201DFD5FC}"/>
    <cellStyle name="Sortie 4 9" xfId="4988" xr:uid="{00000000-0005-0000-0000-00005C150000}"/>
    <cellStyle name="Sortie 4 9 2" xfId="7965" xr:uid="{DBAC4A22-D6E9-4D83-9B0A-808D7084B6DC}"/>
    <cellStyle name="Sortie 5" xfId="517" xr:uid="{00000000-0005-0000-0000-00005D150000}"/>
    <cellStyle name="Sortie 5 10" xfId="672" xr:uid="{00000000-0005-0000-0000-00005E150000}"/>
    <cellStyle name="Sortie 5 10 2" xfId="6341" xr:uid="{0C22164E-A46C-4388-B5D6-038D4EFB0311}"/>
    <cellStyle name="Sortie 5 11" xfId="5978" xr:uid="{00000000-0005-0000-0000-00005F150000}"/>
    <cellStyle name="Sortie 5 11 2" xfId="8786" xr:uid="{8AD223D7-8CA9-4F07-89E7-A995A45BC6DA}"/>
    <cellStyle name="Sortie 5 12" xfId="6022" xr:uid="{00000000-0005-0000-0000-000060150000}"/>
    <cellStyle name="Sortie 5 12 2" xfId="8823" xr:uid="{B3524DDB-4DE1-4623-9D2D-6B2B04575F3A}"/>
    <cellStyle name="Sortie 5 13" xfId="6286" xr:uid="{4521A7E9-9232-4CE3-B245-93391FD3FCB9}"/>
    <cellStyle name="Sortie 5 2" xfId="1814" xr:uid="{00000000-0005-0000-0000-000061150000}"/>
    <cellStyle name="Sortie 5 2 10" xfId="5979" xr:uid="{00000000-0005-0000-0000-000062150000}"/>
    <cellStyle name="Sortie 5 2 10 2" xfId="8787" xr:uid="{11D02BC7-2458-424B-A65B-DDCFFE983559}"/>
    <cellStyle name="Sortie 5 2 11" xfId="6023" xr:uid="{00000000-0005-0000-0000-000063150000}"/>
    <cellStyle name="Sortie 5 2 11 2" xfId="8824" xr:uid="{21DF26E3-B219-480C-B3C4-CF7D87331ADA}"/>
    <cellStyle name="Sortie 5 2 12" xfId="6573" xr:uid="{A2491A34-91A7-43E9-B025-F860AD803219}"/>
    <cellStyle name="Sortie 5 2 2" xfId="3486" xr:uid="{00000000-0005-0000-0000-000064150000}"/>
    <cellStyle name="Sortie 5 2 2 2" xfId="3720" xr:uid="{00000000-0005-0000-0000-000065150000}"/>
    <cellStyle name="Sortie 5 2 2 2 2" xfId="7202" xr:uid="{3E0901AA-157D-454A-A26A-F1D215B63832}"/>
    <cellStyle name="Sortie 5 2 2 3" xfId="4881" xr:uid="{00000000-0005-0000-0000-000066150000}"/>
    <cellStyle name="Sortie 5 2 2 3 2" xfId="7903" xr:uid="{C7EFE2CF-A063-46B7-9B7A-482C635CB359}"/>
    <cellStyle name="Sortie 5 2 2 4" xfId="7078" xr:uid="{44DEF888-78EF-4CFE-9577-F23D255F3B32}"/>
    <cellStyle name="Sortie 5 2 3" xfId="2670" xr:uid="{00000000-0005-0000-0000-000067150000}"/>
    <cellStyle name="Sortie 5 2 3 2" xfId="6873" xr:uid="{B89BC2AA-61E3-4E4E-A79C-150E5E96A742}"/>
    <cellStyle name="Sortie 5 2 4" xfId="3631" xr:uid="{00000000-0005-0000-0000-000068150000}"/>
    <cellStyle name="Sortie 5 2 4 2" xfId="7118" xr:uid="{EC8B3BA3-C0DF-4CC7-B4A5-DB13F6625E14}"/>
    <cellStyle name="Sortie 5 2 5" xfId="3647" xr:uid="{00000000-0005-0000-0000-000069150000}"/>
    <cellStyle name="Sortie 5 2 5 2" xfId="7134" xr:uid="{ED38246A-AD1C-487B-970C-60130647E5BA}"/>
    <cellStyle name="Sortie 5 2 6" xfId="4880" xr:uid="{00000000-0005-0000-0000-00006A150000}"/>
    <cellStyle name="Sortie 5 2 6 2" xfId="7902" xr:uid="{4BF8B78B-2208-423A-AFBA-15DE36D06C15}"/>
    <cellStyle name="Sortie 5 2 7" xfId="4930" xr:uid="{00000000-0005-0000-0000-00006B150000}"/>
    <cellStyle name="Sortie 5 2 7 2" xfId="7922" xr:uid="{3A052DBB-F44B-41CB-8D63-B84E4FBFECC7}"/>
    <cellStyle name="Sortie 5 2 8" xfId="5529" xr:uid="{00000000-0005-0000-0000-00006C150000}"/>
    <cellStyle name="Sortie 5 2 8 2" xfId="8435" xr:uid="{EA89837A-3F9F-476A-B067-4803828CACB5}"/>
    <cellStyle name="Sortie 5 2 9" xfId="5586" xr:uid="{00000000-0005-0000-0000-00006D150000}"/>
    <cellStyle name="Sortie 5 2 9 2" xfId="8479" xr:uid="{DA295A21-EF86-443F-B38A-E7CF949DEBC1}"/>
    <cellStyle name="Sortie 5 3" xfId="1815" xr:uid="{00000000-0005-0000-0000-00006E150000}"/>
    <cellStyle name="Sortie 5 3 2" xfId="2671" xr:uid="{00000000-0005-0000-0000-00006F150000}"/>
    <cellStyle name="Sortie 5 3 2 2" xfId="4882" xr:uid="{00000000-0005-0000-0000-000070150000}"/>
    <cellStyle name="Sortie 5 3 2 2 2" xfId="7904" xr:uid="{3C3F269C-0E33-42D3-BE16-1CF6C77F6FB8}"/>
    <cellStyle name="Sortie 5 3 2 3" xfId="6874" xr:uid="{E6A328C2-4A58-4F95-9F82-931D23CF1A92}"/>
    <cellStyle name="Sortie 5 3 3" xfId="2191" xr:uid="{00000000-0005-0000-0000-000071150000}"/>
    <cellStyle name="Sortie 5 3 3 2" xfId="6660" xr:uid="{27F6845E-8CD2-4D94-8B8F-2D4921CEA6C9}"/>
    <cellStyle name="Sortie 5 3 4" xfId="5530" xr:uid="{00000000-0005-0000-0000-000072150000}"/>
    <cellStyle name="Sortie 5 3 4 2" xfId="8436" xr:uid="{AA82F984-71B6-4DB1-9CFE-666865A3C32E}"/>
    <cellStyle name="Sortie 5 3 5" xfId="6574" xr:uid="{D8D43818-0EE5-4E2E-BDC8-197D90C8F8CA}"/>
    <cellStyle name="Sortie 5 4" xfId="1816" xr:uid="{00000000-0005-0000-0000-000073150000}"/>
    <cellStyle name="Sortie 5 4 2" xfId="4883" xr:uid="{00000000-0005-0000-0000-000074150000}"/>
    <cellStyle name="Sortie 5 4 2 2" xfId="7905" xr:uid="{41E2DDA4-A20B-47E7-AFA9-0D3322A1B7E8}"/>
    <cellStyle name="Sortie 5 4 3" xfId="6575" xr:uid="{0EA3AB77-3B38-4651-8115-7265097920A9}"/>
    <cellStyle name="Sortie 5 5" xfId="2669" xr:uid="{00000000-0005-0000-0000-000075150000}"/>
    <cellStyle name="Sortie 5 5 2" xfId="6872" xr:uid="{F4817FAB-5895-4A0C-9887-2CEAC52331BA}"/>
    <cellStyle name="Sortie 5 6" xfId="2617" xr:uid="{00000000-0005-0000-0000-000076150000}"/>
    <cellStyle name="Sortie 5 6 2" xfId="6838" xr:uid="{B29FF0D7-CB22-4C1B-AD7D-A7AD7F061741}"/>
    <cellStyle name="Sortie 5 7" xfId="2222" xr:uid="{00000000-0005-0000-0000-000077150000}"/>
    <cellStyle name="Sortie 5 7 2" xfId="6680" xr:uid="{5A653742-59D2-4FBD-9B24-4693B0709688}"/>
    <cellStyle name="Sortie 5 8" xfId="4656" xr:uid="{00000000-0005-0000-0000-000078150000}"/>
    <cellStyle name="Sortie 5 8 2" xfId="7806" xr:uid="{49D6101B-7F34-450F-9426-A65077872C7A}"/>
    <cellStyle name="Sortie 5 9" xfId="5226" xr:uid="{00000000-0005-0000-0000-000079150000}"/>
    <cellStyle name="Sortie 5 9 2" xfId="8160" xr:uid="{C5992C0F-CA2F-4D25-9459-AF91260958C9}"/>
    <cellStyle name="Sortie 6" xfId="518" xr:uid="{00000000-0005-0000-0000-00007A150000}"/>
    <cellStyle name="Sortie 6 10" xfId="5980" xr:uid="{00000000-0005-0000-0000-00007B150000}"/>
    <cellStyle name="Sortie 6 10 2" xfId="8788" xr:uid="{D2C4C5E8-BE09-4585-AF6E-6A88D2561AB9}"/>
    <cellStyle name="Sortie 6 11" xfId="6024" xr:uid="{00000000-0005-0000-0000-00007C150000}"/>
    <cellStyle name="Sortie 6 11 2" xfId="8825" xr:uid="{070F27E8-ECB5-476E-8615-24FA016BA956}"/>
    <cellStyle name="Sortie 6 12" xfId="6287" xr:uid="{C6F86B91-6974-43E5-AFE2-441599D78100}"/>
    <cellStyle name="Sortie 6 2" xfId="776" xr:uid="{00000000-0005-0000-0000-00007D150000}"/>
    <cellStyle name="Sortie 6 2 2" xfId="3488" xr:uid="{00000000-0005-0000-0000-00007E150000}"/>
    <cellStyle name="Sortie 6 2 2 2" xfId="3722" xr:uid="{00000000-0005-0000-0000-00007F150000}"/>
    <cellStyle name="Sortie 6 2 2 2 2" xfId="7204" xr:uid="{F516F763-B34C-4E07-ADF0-42F10F02D741}"/>
    <cellStyle name="Sortie 6 2 2 3" xfId="4885" xr:uid="{00000000-0005-0000-0000-000080150000}"/>
    <cellStyle name="Sortie 6 2 2 3 2" xfId="7906" xr:uid="{225A1143-89EE-4CCE-9088-069AF3256BD7}"/>
    <cellStyle name="Sortie 6 2 2 4" xfId="7080" xr:uid="{DB083551-0F76-4771-BEE0-A5B47F34F94C}"/>
    <cellStyle name="Sortie 6 2 3" xfId="3633" xr:uid="{00000000-0005-0000-0000-000081150000}"/>
    <cellStyle name="Sortie 6 2 3 2" xfId="7120" xr:uid="{3B6A044C-1F1A-4125-B461-15F640E6D03C}"/>
    <cellStyle name="Sortie 6 2 4" xfId="2338" xr:uid="{00000000-0005-0000-0000-000082150000}"/>
    <cellStyle name="Sortie 6 2 4 2" xfId="6698" xr:uid="{9CCB1E46-C710-4E00-8FF7-60DBBBDC50C4}"/>
    <cellStyle name="Sortie 6 2 5" xfId="4884" xr:uid="{00000000-0005-0000-0000-000083150000}"/>
    <cellStyle name="Sortie 6 2 6" xfId="4765" xr:uid="{00000000-0005-0000-0000-000084150000}"/>
    <cellStyle name="Sortie 6 2 6 2" xfId="7835" xr:uid="{13565FAA-370C-49A6-9821-FAA0ABE8206C}"/>
    <cellStyle name="Sortie 6 2 7" xfId="5585" xr:uid="{00000000-0005-0000-0000-000085150000}"/>
    <cellStyle name="Sortie 6 2 7 2" xfId="8478" xr:uid="{73C36812-04AC-414C-B8C3-AEA5144EC2D3}"/>
    <cellStyle name="Sortie 6 2 8" xfId="6421" xr:uid="{7B41421C-B991-46E0-A863-2F642AC1AA1F}"/>
    <cellStyle name="Sortie 6 3" xfId="3487" xr:uid="{00000000-0005-0000-0000-000086150000}"/>
    <cellStyle name="Sortie 6 3 2" xfId="3721" xr:uid="{00000000-0005-0000-0000-000087150000}"/>
    <cellStyle name="Sortie 6 3 2 2" xfId="7203" xr:uid="{2E1ADEC8-AF7E-4B19-A687-F874CFC90E32}"/>
    <cellStyle name="Sortie 6 3 3" xfId="7079" xr:uid="{BB07E677-88E3-4100-A3FD-A8D9868C9ABA}"/>
    <cellStyle name="Sortie 6 4" xfId="2672" xr:uid="{00000000-0005-0000-0000-000088150000}"/>
    <cellStyle name="Sortie 6 5" xfId="3632" xr:uid="{00000000-0005-0000-0000-000089150000}"/>
    <cellStyle name="Sortie 6 5 2" xfId="7119" xr:uid="{67D0E65B-B8C7-402A-8917-BF40F90439B7}"/>
    <cellStyle name="Sortie 6 6" xfId="3651" xr:uid="{00000000-0005-0000-0000-00008A150000}"/>
    <cellStyle name="Sortie 6 6 2" xfId="7137" xr:uid="{93459644-00B5-4E5A-A7FC-B4EA4C0D700A}"/>
    <cellStyle name="Sortie 6 7" xfId="4768" xr:uid="{00000000-0005-0000-0000-00008B150000}"/>
    <cellStyle name="Sortie 6 7 2" xfId="7838" xr:uid="{BC9696F4-88CB-439C-AE3F-4441C2F6C76D}"/>
    <cellStyle name="Sortie 6 8" xfId="5444" xr:uid="{00000000-0005-0000-0000-00008C150000}"/>
    <cellStyle name="Sortie 6 8 2" xfId="8356" xr:uid="{533AF733-C0CC-4251-8BAB-023DFD62C33E}"/>
    <cellStyle name="Sortie 6 9" xfId="604" xr:uid="{00000000-0005-0000-0000-00008D150000}"/>
    <cellStyle name="Sortie 6 9 2" xfId="6308" xr:uid="{2C64C063-22C9-43AB-9C94-CB78EB005A31}"/>
    <cellStyle name="Sortie 7" xfId="1791" xr:uid="{00000000-0005-0000-0000-00008E150000}"/>
    <cellStyle name="Sortie 7 2" xfId="2109" xr:uid="{00000000-0005-0000-0000-00008F150000}"/>
    <cellStyle name="Sortie 7 2 2" xfId="3723" xr:uid="{00000000-0005-0000-0000-000090150000}"/>
    <cellStyle name="Sortie 7 2 2 2" xfId="7205" xr:uid="{279D6175-56F5-43D3-B07D-497ACB133811}"/>
    <cellStyle name="Sortie 7 2 3" xfId="6632" xr:uid="{B67778A1-FA9B-490E-972B-1AF40ADC3BAD}"/>
    <cellStyle name="Sortie 7 3" xfId="3489" xr:uid="{00000000-0005-0000-0000-000091150000}"/>
    <cellStyle name="Sortie 7 3 2" xfId="7081" xr:uid="{6F025FC3-6EF7-42C1-950E-D471343F7064}"/>
    <cellStyle name="Sortie 7 4" xfId="3634" xr:uid="{00000000-0005-0000-0000-000092150000}"/>
    <cellStyle name="Sortie 7 4 2" xfId="7121" xr:uid="{FE8F6531-EC64-405E-AC0B-1274642CFE11}"/>
    <cellStyle name="Sortie 7 5" xfId="3463" xr:uid="{00000000-0005-0000-0000-000093150000}"/>
    <cellStyle name="Sortie 7 5 2" xfId="7068" xr:uid="{741923B2-EB24-4CD9-8F22-28BFAE6AB130}"/>
    <cellStyle name="Sortie 7 6" xfId="4127" xr:uid="{00000000-0005-0000-0000-000094150000}"/>
    <cellStyle name="Sortie 7 6 2" xfId="7399" xr:uid="{B10577B2-D70E-47B4-8264-4024E67A2E8F}"/>
    <cellStyle name="Sortie 7 7" xfId="5568" xr:uid="{00000000-0005-0000-0000-000095150000}"/>
    <cellStyle name="Sortie 7 7 2" xfId="8462" xr:uid="{E5357FDB-BCB7-45E6-9AC4-7EB2A827800F}"/>
    <cellStyle name="Sortie 7 8" xfId="5981" xr:uid="{00000000-0005-0000-0000-000096150000}"/>
    <cellStyle name="Sortie 7 8 2" xfId="8789" xr:uid="{0D9C1568-3273-45E3-90D2-45E35263CF90}"/>
    <cellStyle name="Sortie 7 9" xfId="6025" xr:uid="{00000000-0005-0000-0000-000097150000}"/>
    <cellStyle name="Sortie 7 9 2" xfId="8826" xr:uid="{C40347BB-B3E5-435A-AC26-6FE35FF1FF2E}"/>
    <cellStyle name="Sortie 8" xfId="3490" xr:uid="{00000000-0005-0000-0000-000098150000}"/>
    <cellStyle name="Sortie 8 2" xfId="3724" xr:uid="{00000000-0005-0000-0000-000099150000}"/>
    <cellStyle name="Sortie 8 2 2" xfId="7206" xr:uid="{57B3ACA0-C644-45D2-9FDA-22271FD9C44D}"/>
    <cellStyle name="Sortie 8 3" xfId="3635" xr:uid="{00000000-0005-0000-0000-00009A150000}"/>
    <cellStyle name="Sortie 8 3 2" xfId="7122" xr:uid="{D9BEA781-CC18-4B7E-A240-10B130BFBB38}"/>
    <cellStyle name="Sortie 8 4" xfId="2221" xr:uid="{00000000-0005-0000-0000-00009B150000}"/>
    <cellStyle name="Sortie 8 4 2" xfId="6679" xr:uid="{1475BC4D-7266-4A5D-B9F3-A2D2579CFD71}"/>
    <cellStyle name="Sortie 8 5" xfId="4118" xr:uid="{00000000-0005-0000-0000-00009C150000}"/>
    <cellStyle name="Sortie 8 5 2" xfId="7391" xr:uid="{48CE514B-2B04-4648-863D-96FEEAD96129}"/>
    <cellStyle name="Sortie 8 6" xfId="5584" xr:uid="{00000000-0005-0000-0000-00009D150000}"/>
    <cellStyle name="Sortie 8 6 2" xfId="8477" xr:uid="{2B7DCD83-0008-4B97-A151-694AFB1AF828}"/>
    <cellStyle name="Sortie 8 7" xfId="7082" xr:uid="{BFBF2DF5-8E08-4FAC-BD4D-DF353575D112}"/>
    <cellStyle name="Sortie 9" xfId="3567" xr:uid="{00000000-0005-0000-0000-00009E150000}"/>
    <cellStyle name="Sortie 9 2" xfId="3740" xr:uid="{00000000-0005-0000-0000-00009F150000}"/>
    <cellStyle name="Sortie 9 2 2" xfId="7221" xr:uid="{EC2A46F9-E6BF-4B11-B6FD-D6A1515ECE29}"/>
    <cellStyle name="Sortie 9 3" xfId="3655" xr:uid="{00000000-0005-0000-0000-0000A0150000}"/>
    <cellStyle name="Sortie 9 3 2" xfId="7141" xr:uid="{CBE3403F-798C-4E72-A269-EC5EB6AC0CE5}"/>
    <cellStyle name="Sortie 9 4" xfId="4515" xr:uid="{00000000-0005-0000-0000-0000A1150000}"/>
    <cellStyle name="Sortie 9 4 2" xfId="7694" xr:uid="{E8D225DF-36DE-406D-9D6D-26C8C98F99D2}"/>
    <cellStyle name="Sortie 9 5" xfId="4777" xr:uid="{00000000-0005-0000-0000-0000A2150000}"/>
    <cellStyle name="Sortie 9 5 2" xfId="7847" xr:uid="{119A4E01-EF48-4D93-9A91-215D77613740}"/>
    <cellStyle name="Sortie 9 6" xfId="5531" xr:uid="{00000000-0005-0000-0000-0000A3150000}"/>
    <cellStyle name="Sortie 9 6 2" xfId="8437" xr:uid="{882DF057-6D16-423E-AA46-68FE40783B9D}"/>
    <cellStyle name="Sortie 9 7" xfId="7101" xr:uid="{B8E093AC-D0B6-4EEC-BC7B-DB6CF3BC6CDB}"/>
    <cellStyle name="Style 1" xfId="1817" xr:uid="{00000000-0005-0000-0000-0000A4150000}"/>
    <cellStyle name="Text Level 2 2" xfId="5982" xr:uid="{00000000-0005-0000-0000-0000A5150000}"/>
    <cellStyle name="Texte explicatif" xfId="576" builtinId="53" customBuiltin="1"/>
    <cellStyle name="Texte explicatif 2" xfId="519" xr:uid="{00000000-0005-0000-0000-0000A7150000}"/>
    <cellStyle name="Texte explicatif 2 2" xfId="1818" xr:uid="{00000000-0005-0000-0000-0000A8150000}"/>
    <cellStyle name="Texte explicatif 2 2 2" xfId="3491" xr:uid="{00000000-0005-0000-0000-0000A9150000}"/>
    <cellStyle name="Texte explicatif 2 2 3" xfId="2102" xr:uid="{00000000-0005-0000-0000-0000AA150000}"/>
    <cellStyle name="Texte explicatif 2 2 3 2" xfId="4886" xr:uid="{00000000-0005-0000-0000-0000AB150000}"/>
    <cellStyle name="Texte explicatif 2 3" xfId="1819" xr:uid="{00000000-0005-0000-0000-0000AC150000}"/>
    <cellStyle name="Texte explicatif 2 3 2" xfId="3492" xr:uid="{00000000-0005-0000-0000-0000AD150000}"/>
    <cellStyle name="Texte explicatif 2 4" xfId="1820" xr:uid="{00000000-0005-0000-0000-0000AE150000}"/>
    <cellStyle name="Texte explicatif 2 5" xfId="1821" xr:uid="{00000000-0005-0000-0000-0000AF150000}"/>
    <cellStyle name="Texte explicatif 2 6" xfId="1822" xr:uid="{00000000-0005-0000-0000-0000B0150000}"/>
    <cellStyle name="Texte explicatif 2 7" xfId="1823" xr:uid="{00000000-0005-0000-0000-0000B1150000}"/>
    <cellStyle name="Texte explicatif 2 7 2" xfId="1824" xr:uid="{00000000-0005-0000-0000-0000B2150000}"/>
    <cellStyle name="Texte explicatif 2 8" xfId="1825" xr:uid="{00000000-0005-0000-0000-0000B3150000}"/>
    <cellStyle name="Texte explicatif 2 8 2" xfId="2681" xr:uid="{00000000-0005-0000-0000-0000B4150000}"/>
    <cellStyle name="Texte explicatif 2 9" xfId="1826" xr:uid="{00000000-0005-0000-0000-0000B5150000}"/>
    <cellStyle name="Texte explicatif 3" xfId="520" xr:uid="{00000000-0005-0000-0000-0000B6150000}"/>
    <cellStyle name="Texte explicatif 3 2" xfId="1827" xr:uid="{00000000-0005-0000-0000-0000B7150000}"/>
    <cellStyle name="Texte explicatif 3 2 2" xfId="1828" xr:uid="{00000000-0005-0000-0000-0000B8150000}"/>
    <cellStyle name="Texte explicatif 3 3" xfId="1829" xr:uid="{00000000-0005-0000-0000-0000B9150000}"/>
    <cellStyle name="Texte explicatif 3 3 2" xfId="1830" xr:uid="{00000000-0005-0000-0000-0000BA150000}"/>
    <cellStyle name="Texte explicatif 3 4" xfId="1831" xr:uid="{00000000-0005-0000-0000-0000BB150000}"/>
    <cellStyle name="Texte explicatif 3 4 2" xfId="2687" xr:uid="{00000000-0005-0000-0000-0000BC150000}"/>
    <cellStyle name="Texte explicatif 3 5" xfId="1832" xr:uid="{00000000-0005-0000-0000-0000BD150000}"/>
    <cellStyle name="Texte explicatif 4" xfId="1833" xr:uid="{00000000-0005-0000-0000-0000BE150000}"/>
    <cellStyle name="Texte explicatif 4 2" xfId="1834" xr:uid="{00000000-0005-0000-0000-0000BF150000}"/>
    <cellStyle name="Texte explicatif 4 3" xfId="2112" xr:uid="{00000000-0005-0000-0000-0000C0150000}"/>
    <cellStyle name="Texte explicatif 5" xfId="1835" xr:uid="{00000000-0005-0000-0000-0000C1150000}"/>
    <cellStyle name="Texte explicatif 5 2" xfId="1836" xr:uid="{00000000-0005-0000-0000-0000C2150000}"/>
    <cellStyle name="Texte explicatif 6" xfId="5433" xr:uid="{00000000-0005-0000-0000-0000C3150000}"/>
    <cellStyle name="Title 2" xfId="5983" xr:uid="{00000000-0005-0000-0000-0000C4150000}"/>
    <cellStyle name="Title 2 2" xfId="6165" xr:uid="{00000000-0005-0000-0000-0000C5150000}"/>
    <cellStyle name="Titre" xfId="575" builtinId="15" customBuiltin="1"/>
    <cellStyle name="Titre 1" xfId="2689" xr:uid="{00000000-0005-0000-0000-0000C7150000}"/>
    <cellStyle name="Titre 1 2" xfId="3494" xr:uid="{00000000-0005-0000-0000-0000C8150000}"/>
    <cellStyle name="Titre 1 3" xfId="3493" xr:uid="{00000000-0005-0000-0000-0000C9150000}"/>
    <cellStyle name="Titre 1 4" xfId="4887" xr:uid="{00000000-0005-0000-0000-0000CA150000}"/>
    <cellStyle name="Titre 2" xfId="521" xr:uid="{00000000-0005-0000-0000-0000CB150000}"/>
    <cellStyle name="Titre 2 2" xfId="1837" xr:uid="{00000000-0005-0000-0000-0000CC150000}"/>
    <cellStyle name="Titre 2 2 2" xfId="3495" xr:uid="{00000000-0005-0000-0000-0000CD150000}"/>
    <cellStyle name="Titre 2 2 3" xfId="2720" xr:uid="{00000000-0005-0000-0000-0000CE150000}"/>
    <cellStyle name="Titre 2 2 3 2" xfId="4888" xr:uid="{00000000-0005-0000-0000-0000CF150000}"/>
    <cellStyle name="Titre 2 3" xfId="1838" xr:uid="{00000000-0005-0000-0000-0000D0150000}"/>
    <cellStyle name="Titre 2 3 2" xfId="3496" xr:uid="{00000000-0005-0000-0000-0000D1150000}"/>
    <cellStyle name="Titre 2 4" xfId="1839" xr:uid="{00000000-0005-0000-0000-0000D2150000}"/>
    <cellStyle name="Titre 2 5" xfId="1840" xr:uid="{00000000-0005-0000-0000-0000D3150000}"/>
    <cellStyle name="Titre 2 6" xfId="1841" xr:uid="{00000000-0005-0000-0000-0000D4150000}"/>
    <cellStyle name="Titre 2 7" xfId="1842" xr:uid="{00000000-0005-0000-0000-0000D5150000}"/>
    <cellStyle name="Titre 2 7 2" xfId="1843" xr:uid="{00000000-0005-0000-0000-0000D6150000}"/>
    <cellStyle name="Titre 2 8" xfId="1844" xr:uid="{00000000-0005-0000-0000-0000D7150000}"/>
    <cellStyle name="Titre 2 8 2" xfId="2696" xr:uid="{00000000-0005-0000-0000-0000D8150000}"/>
    <cellStyle name="Titre 2 9" xfId="1845" xr:uid="{00000000-0005-0000-0000-0000D9150000}"/>
    <cellStyle name="Titre 3" xfId="522" xr:uid="{00000000-0005-0000-0000-0000DA150000}"/>
    <cellStyle name="Titre 3 2" xfId="1846" xr:uid="{00000000-0005-0000-0000-0000DB150000}"/>
    <cellStyle name="Titre 3 2 2" xfId="1847" xr:uid="{00000000-0005-0000-0000-0000DC150000}"/>
    <cellStyle name="Titre 3 3" xfId="1848" xr:uid="{00000000-0005-0000-0000-0000DD150000}"/>
    <cellStyle name="Titre 3 3 2" xfId="1849" xr:uid="{00000000-0005-0000-0000-0000DE150000}"/>
    <cellStyle name="Titre 3 4" xfId="1850" xr:uid="{00000000-0005-0000-0000-0000DF150000}"/>
    <cellStyle name="Titre 3 4 2" xfId="2697" xr:uid="{00000000-0005-0000-0000-0000E0150000}"/>
    <cellStyle name="Titre 3 5" xfId="1851" xr:uid="{00000000-0005-0000-0000-0000E1150000}"/>
    <cellStyle name="Titre 4" xfId="1852" xr:uid="{00000000-0005-0000-0000-0000E2150000}"/>
    <cellStyle name="Titre 4 2" xfId="1853" xr:uid="{00000000-0005-0000-0000-0000E3150000}"/>
    <cellStyle name="Titre 4 3" xfId="2115" xr:uid="{00000000-0005-0000-0000-0000E4150000}"/>
    <cellStyle name="Titre 5" xfId="1854" xr:uid="{00000000-0005-0000-0000-0000E5150000}"/>
    <cellStyle name="Titre 5 2" xfId="1855" xr:uid="{00000000-0005-0000-0000-0000E6150000}"/>
    <cellStyle name="Titre 6" xfId="5432" xr:uid="{00000000-0005-0000-0000-0000E7150000}"/>
    <cellStyle name="Titre de la feuille" xfId="523" xr:uid="{00000000-0005-0000-0000-0000E8150000}"/>
    <cellStyle name="Titre de la feuille 2" xfId="524" xr:uid="{00000000-0005-0000-0000-0000E9150000}"/>
    <cellStyle name="Titre de la feuille 2 2" xfId="3497" xr:uid="{00000000-0005-0000-0000-0000EA150000}"/>
    <cellStyle name="Titre de la feuille 2 3" xfId="3498" xr:uid="{00000000-0005-0000-0000-0000EB150000}"/>
    <cellStyle name="Titre de la feuille 3" xfId="525" xr:uid="{00000000-0005-0000-0000-0000EC150000}"/>
    <cellStyle name="Titre de la feuille 3 2" xfId="3499" xr:uid="{00000000-0005-0000-0000-0000ED150000}"/>
    <cellStyle name="Titre de la feuille 4" xfId="526" xr:uid="{00000000-0005-0000-0000-0000EE150000}"/>
    <cellStyle name="Titre 1" xfId="527" builtinId="16" customBuiltin="1"/>
    <cellStyle name="Titre 1 2" xfId="528" xr:uid="{00000000-0005-0000-0000-0000F0150000}"/>
    <cellStyle name="Titre 1 2 2" xfId="529" xr:uid="{00000000-0005-0000-0000-0000F1150000}"/>
    <cellStyle name="Titre 1 2 2 2" xfId="1857" xr:uid="{00000000-0005-0000-0000-0000F2150000}"/>
    <cellStyle name="Titre 1 2 2 2 2" xfId="2702" xr:uid="{00000000-0005-0000-0000-0000F3150000}"/>
    <cellStyle name="Titre 1 2 2 3" xfId="1858" xr:uid="{00000000-0005-0000-0000-0000F4150000}"/>
    <cellStyle name="Titre 1 2 3" xfId="530" xr:uid="{00000000-0005-0000-0000-0000F5150000}"/>
    <cellStyle name="Titre 1 2 3 2" xfId="1859" xr:uid="{00000000-0005-0000-0000-0000F6150000}"/>
    <cellStyle name="Titre 1 2 3 2 2" xfId="3501" xr:uid="{00000000-0005-0000-0000-0000F7150000}"/>
    <cellStyle name="Titre 1 2 3 2 2 2" xfId="4891" xr:uid="{00000000-0005-0000-0000-0000F8150000}"/>
    <cellStyle name="Titre 1 2 3 2 3" xfId="2704" xr:uid="{00000000-0005-0000-0000-0000F9150000}"/>
    <cellStyle name="Titre 1 2 3 2 3 2" xfId="4892" xr:uid="{00000000-0005-0000-0000-0000FA150000}"/>
    <cellStyle name="Titre 1 2 3 3" xfId="1860" xr:uid="{00000000-0005-0000-0000-0000FB150000}"/>
    <cellStyle name="Titre 1 2 4" xfId="1861" xr:uid="{00000000-0005-0000-0000-0000FC150000}"/>
    <cellStyle name="Titre 1 2 4 2" xfId="1862" xr:uid="{00000000-0005-0000-0000-0000FD150000}"/>
    <cellStyle name="Titre 1 2 4 2 2" xfId="2706" xr:uid="{00000000-0005-0000-0000-0000FE150000}"/>
    <cellStyle name="Titre 1 2 4 3" xfId="1863" xr:uid="{00000000-0005-0000-0000-0000FF150000}"/>
    <cellStyle name="Titre 1 2 5" xfId="1864" xr:uid="{00000000-0005-0000-0000-000000160000}"/>
    <cellStyle name="Titre 1 2 5 2" xfId="2098" xr:uid="{00000000-0005-0000-0000-000001160000}"/>
    <cellStyle name="Titre 1 2 5 2 2" xfId="4894" xr:uid="{00000000-0005-0000-0000-000002160000}"/>
    <cellStyle name="Titre 1 2 5 3" xfId="5984" xr:uid="{00000000-0005-0000-0000-000003160000}"/>
    <cellStyle name="Titre 1 2 6" xfId="1865" xr:uid="{00000000-0005-0000-0000-000004160000}"/>
    <cellStyle name="Titre 1 2 7" xfId="1866" xr:uid="{00000000-0005-0000-0000-000005160000}"/>
    <cellStyle name="Titre 1 2 7 2" xfId="1867" xr:uid="{00000000-0005-0000-0000-000006160000}"/>
    <cellStyle name="Titre 1 2 8" xfId="1868" xr:uid="{00000000-0005-0000-0000-000007160000}"/>
    <cellStyle name="Titre 1 2 8 2" xfId="2710" xr:uid="{00000000-0005-0000-0000-000008160000}"/>
    <cellStyle name="Titre 1 2 9" xfId="1869" xr:uid="{00000000-0005-0000-0000-000009160000}"/>
    <cellStyle name="Titre 1 3" xfId="531" xr:uid="{00000000-0005-0000-0000-00000A160000}"/>
    <cellStyle name="Titre 1 3 2" xfId="1870" xr:uid="{00000000-0005-0000-0000-00000B160000}"/>
    <cellStyle name="Titre 1 3 2 2" xfId="1871" xr:uid="{00000000-0005-0000-0000-00000C160000}"/>
    <cellStyle name="Titre 1 3 2 3" xfId="3502" xr:uid="{00000000-0005-0000-0000-00000D160000}"/>
    <cellStyle name="Titre 1 3 2 4" xfId="3811" xr:uid="{00000000-0005-0000-0000-00000E160000}"/>
    <cellStyle name="Titre 1 3 2 4 2" xfId="4896" xr:uid="{00000000-0005-0000-0000-00000F160000}"/>
    <cellStyle name="Titre 1 3 3" xfId="1872" xr:uid="{00000000-0005-0000-0000-000010160000}"/>
    <cellStyle name="Titre 1 3 3 2" xfId="1873" xr:uid="{00000000-0005-0000-0000-000011160000}"/>
    <cellStyle name="Titre 1 3 4" xfId="1874" xr:uid="{00000000-0005-0000-0000-000012160000}"/>
    <cellStyle name="Titre 1 3 4 2" xfId="2714" xr:uid="{00000000-0005-0000-0000-000013160000}"/>
    <cellStyle name="Titre 1 3 5" xfId="1875" xr:uid="{00000000-0005-0000-0000-000014160000}"/>
    <cellStyle name="Titre 1 4" xfId="532" xr:uid="{00000000-0005-0000-0000-000015160000}"/>
    <cellStyle name="Titre 1 4 2" xfId="1876" xr:uid="{00000000-0005-0000-0000-000016160000}"/>
    <cellStyle name="Titre 1 4 3" xfId="1877" xr:uid="{00000000-0005-0000-0000-000017160000}"/>
    <cellStyle name="Titre 1 4 3 2" xfId="2715" xr:uid="{00000000-0005-0000-0000-000018160000}"/>
    <cellStyle name="Titre 1 4 4" xfId="1878" xr:uid="{00000000-0005-0000-0000-000019160000}"/>
    <cellStyle name="Titre 1 5" xfId="533" xr:uid="{00000000-0005-0000-0000-00001A160000}"/>
    <cellStyle name="Titre 1 5 2" xfId="1879" xr:uid="{00000000-0005-0000-0000-00001B160000}"/>
    <cellStyle name="Titre 1 5 3" xfId="1880" xr:uid="{00000000-0005-0000-0000-00001C160000}"/>
    <cellStyle name="Titre 1 5 3 2" xfId="2718" xr:uid="{00000000-0005-0000-0000-00001D160000}"/>
    <cellStyle name="Titre 1 5 4" xfId="1881" xr:uid="{00000000-0005-0000-0000-00001E160000}"/>
    <cellStyle name="Titre 1 6" xfId="534" xr:uid="{00000000-0005-0000-0000-00001F160000}"/>
    <cellStyle name="Titre 1 6 2" xfId="772" xr:uid="{00000000-0005-0000-0000-000020160000}"/>
    <cellStyle name="Titre 1 6 2 2" xfId="4908" xr:uid="{00000000-0005-0000-0000-000021160000}"/>
    <cellStyle name="Titre 1 6 2 3" xfId="4907" xr:uid="{00000000-0005-0000-0000-000022160000}"/>
    <cellStyle name="Titre 1 6 3" xfId="3503" xr:uid="{00000000-0005-0000-0000-000023160000}"/>
    <cellStyle name="Titre 1 6 4" xfId="2719" xr:uid="{00000000-0005-0000-0000-000024160000}"/>
    <cellStyle name="Titre 1 7" xfId="1856" xr:uid="{00000000-0005-0000-0000-000025160000}"/>
    <cellStyle name="Titre 1 7 2" xfId="2121" xr:uid="{00000000-0005-0000-0000-000026160000}"/>
    <cellStyle name="Titre 1 7 3" xfId="3505" xr:uid="{00000000-0005-0000-0000-000027160000}"/>
    <cellStyle name="Titre 1 8" xfId="3568" xr:uid="{00000000-0005-0000-0000-000028160000}"/>
    <cellStyle name="Titre 1 9" xfId="4890" xr:uid="{00000000-0005-0000-0000-000029160000}"/>
    <cellStyle name="Titre 2" xfId="535" builtinId="17" customBuiltin="1"/>
    <cellStyle name="Titre 2 2" xfId="536" xr:uid="{00000000-0005-0000-0000-00002B160000}"/>
    <cellStyle name="Titre 2 2 2" xfId="537" xr:uid="{00000000-0005-0000-0000-00002C160000}"/>
    <cellStyle name="Titre 2 2 2 2" xfId="1883" xr:uid="{00000000-0005-0000-0000-00002D160000}"/>
    <cellStyle name="Titre 2 2 2 2 2" xfId="2722" xr:uid="{00000000-0005-0000-0000-00002E160000}"/>
    <cellStyle name="Titre 2 2 2 3" xfId="1884" xr:uid="{00000000-0005-0000-0000-00002F160000}"/>
    <cellStyle name="Titre 2 2 3" xfId="538" xr:uid="{00000000-0005-0000-0000-000030160000}"/>
    <cellStyle name="Titre 2 2 3 2" xfId="1885" xr:uid="{00000000-0005-0000-0000-000031160000}"/>
    <cellStyle name="Titre 2 2 3 2 2" xfId="3506" xr:uid="{00000000-0005-0000-0000-000032160000}"/>
    <cellStyle name="Titre 2 2 3 2 2 2" xfId="4910" xr:uid="{00000000-0005-0000-0000-000033160000}"/>
    <cellStyle name="Titre 2 2 3 2 3" xfId="2723" xr:uid="{00000000-0005-0000-0000-000034160000}"/>
    <cellStyle name="Titre 2 2 3 2 3 2" xfId="4911" xr:uid="{00000000-0005-0000-0000-000035160000}"/>
    <cellStyle name="Titre 2 2 3 3" xfId="1886" xr:uid="{00000000-0005-0000-0000-000036160000}"/>
    <cellStyle name="Titre 2 2 4" xfId="1887" xr:uid="{00000000-0005-0000-0000-000037160000}"/>
    <cellStyle name="Titre 2 2 4 2" xfId="1888" xr:uid="{00000000-0005-0000-0000-000038160000}"/>
    <cellStyle name="Titre 2 2 4 2 2" xfId="2724" xr:uid="{00000000-0005-0000-0000-000039160000}"/>
    <cellStyle name="Titre 2 2 4 3" xfId="1889" xr:uid="{00000000-0005-0000-0000-00003A160000}"/>
    <cellStyle name="Titre 2 2 5" xfId="1890" xr:uid="{00000000-0005-0000-0000-00003B160000}"/>
    <cellStyle name="Titre 2 2 5 2" xfId="3812" xr:uid="{00000000-0005-0000-0000-00003C160000}"/>
    <cellStyle name="Titre 2 2 5 2 2" xfId="4913" xr:uid="{00000000-0005-0000-0000-00003D160000}"/>
    <cellStyle name="Titre 2 2 5 3" xfId="5985" xr:uid="{00000000-0005-0000-0000-00003E160000}"/>
    <cellStyle name="Titre 2 2 6" xfId="1891" xr:uid="{00000000-0005-0000-0000-00003F160000}"/>
    <cellStyle name="Titre 2 2 7" xfId="1892" xr:uid="{00000000-0005-0000-0000-000040160000}"/>
    <cellStyle name="Titre 2 2 7 2" xfId="1893" xr:uid="{00000000-0005-0000-0000-000041160000}"/>
    <cellStyle name="Titre 2 2 8" xfId="1894" xr:uid="{00000000-0005-0000-0000-000042160000}"/>
    <cellStyle name="Titre 2 2 8 2" xfId="2726" xr:uid="{00000000-0005-0000-0000-000043160000}"/>
    <cellStyle name="Titre 2 2 9" xfId="1895" xr:uid="{00000000-0005-0000-0000-000044160000}"/>
    <cellStyle name="Titre 2 3" xfId="539" xr:uid="{00000000-0005-0000-0000-000045160000}"/>
    <cellStyle name="Titre 2 3 2" xfId="1896" xr:uid="{00000000-0005-0000-0000-000046160000}"/>
    <cellStyle name="Titre 2 3 2 2" xfId="1897" xr:uid="{00000000-0005-0000-0000-000047160000}"/>
    <cellStyle name="Titre 2 3 2 3" xfId="3507" xr:uid="{00000000-0005-0000-0000-000048160000}"/>
    <cellStyle name="Titre 2 3 2 4" xfId="3747" xr:uid="{00000000-0005-0000-0000-000049160000}"/>
    <cellStyle name="Titre 2 3 2 4 2" xfId="4914" xr:uid="{00000000-0005-0000-0000-00004A160000}"/>
    <cellStyle name="Titre 2 3 3" xfId="1898" xr:uid="{00000000-0005-0000-0000-00004B160000}"/>
    <cellStyle name="Titre 2 3 3 2" xfId="1899" xr:uid="{00000000-0005-0000-0000-00004C160000}"/>
    <cellStyle name="Titre 2 3 4" xfId="1900" xr:uid="{00000000-0005-0000-0000-00004D160000}"/>
    <cellStyle name="Titre 2 3 4 2" xfId="2727" xr:uid="{00000000-0005-0000-0000-00004E160000}"/>
    <cellStyle name="Titre 2 3 5" xfId="1901" xr:uid="{00000000-0005-0000-0000-00004F160000}"/>
    <cellStyle name="Titre 2 4" xfId="540" xr:uid="{00000000-0005-0000-0000-000050160000}"/>
    <cellStyle name="Titre 2 4 2" xfId="1902" xr:uid="{00000000-0005-0000-0000-000051160000}"/>
    <cellStyle name="Titre 2 4 3" xfId="1903" xr:uid="{00000000-0005-0000-0000-000052160000}"/>
    <cellStyle name="Titre 2 4 3 2" xfId="2729" xr:uid="{00000000-0005-0000-0000-000053160000}"/>
    <cellStyle name="Titre 2 4 4" xfId="1904" xr:uid="{00000000-0005-0000-0000-000054160000}"/>
    <cellStyle name="Titre 2 5" xfId="541" xr:uid="{00000000-0005-0000-0000-000055160000}"/>
    <cellStyle name="Titre 2 5 2" xfId="1905" xr:uid="{00000000-0005-0000-0000-000056160000}"/>
    <cellStyle name="Titre 2 5 3" xfId="1906" xr:uid="{00000000-0005-0000-0000-000057160000}"/>
    <cellStyle name="Titre 2 5 3 2" xfId="2731" xr:uid="{00000000-0005-0000-0000-000058160000}"/>
    <cellStyle name="Titre 2 5 4" xfId="1907" xr:uid="{00000000-0005-0000-0000-000059160000}"/>
    <cellStyle name="Titre 2 6" xfId="542" xr:uid="{00000000-0005-0000-0000-00005A160000}"/>
    <cellStyle name="Titre 2 6 2" xfId="767" xr:uid="{00000000-0005-0000-0000-00005B160000}"/>
    <cellStyle name="Titre 2 6 2 2" xfId="4916" xr:uid="{00000000-0005-0000-0000-00005C160000}"/>
    <cellStyle name="Titre 2 6 2 3" xfId="4915" xr:uid="{00000000-0005-0000-0000-00005D160000}"/>
    <cellStyle name="Titre 2 6 3" xfId="3508" xr:uid="{00000000-0005-0000-0000-00005E160000}"/>
    <cellStyle name="Titre 2 6 4" xfId="2732" xr:uid="{00000000-0005-0000-0000-00005F160000}"/>
    <cellStyle name="Titre 2 7" xfId="1882" xr:uid="{00000000-0005-0000-0000-000060160000}"/>
    <cellStyle name="Titre 2 7 2" xfId="2126" xr:uid="{00000000-0005-0000-0000-000061160000}"/>
    <cellStyle name="Titre 2 7 3" xfId="3509" xr:uid="{00000000-0005-0000-0000-000062160000}"/>
    <cellStyle name="Titre 2 8" xfId="3569" xr:uid="{00000000-0005-0000-0000-000063160000}"/>
    <cellStyle name="Titre 2 9" xfId="4909" xr:uid="{00000000-0005-0000-0000-000064160000}"/>
    <cellStyle name="Titre 3" xfId="543" builtinId="18" customBuiltin="1"/>
    <cellStyle name="Titre 3 2" xfId="544" xr:uid="{00000000-0005-0000-0000-000066160000}"/>
    <cellStyle name="Titre 3 2 2" xfId="545" xr:uid="{00000000-0005-0000-0000-000067160000}"/>
    <cellStyle name="Titre 3 2 2 2" xfId="1909" xr:uid="{00000000-0005-0000-0000-000068160000}"/>
    <cellStyle name="Titre 3 2 2 2 2" xfId="2733" xr:uid="{00000000-0005-0000-0000-000069160000}"/>
    <cellStyle name="Titre 3 2 2 3" xfId="1910" xr:uid="{00000000-0005-0000-0000-00006A160000}"/>
    <cellStyle name="Titre 3 2 3" xfId="546" xr:uid="{00000000-0005-0000-0000-00006B160000}"/>
    <cellStyle name="Titre 3 2 3 2" xfId="1911" xr:uid="{00000000-0005-0000-0000-00006C160000}"/>
    <cellStyle name="Titre 3 2 3 2 2" xfId="3510" xr:uid="{00000000-0005-0000-0000-00006D160000}"/>
    <cellStyle name="Titre 3 2 3 2 2 2" xfId="4918" xr:uid="{00000000-0005-0000-0000-00006E160000}"/>
    <cellStyle name="Titre 3 2 3 2 3" xfId="2734" xr:uid="{00000000-0005-0000-0000-00006F160000}"/>
    <cellStyle name="Titre 3 2 3 2 3 2" xfId="4919" xr:uid="{00000000-0005-0000-0000-000070160000}"/>
    <cellStyle name="Titre 3 2 3 3" xfId="1912" xr:uid="{00000000-0005-0000-0000-000071160000}"/>
    <cellStyle name="Titre 3 2 4" xfId="1913" xr:uid="{00000000-0005-0000-0000-000072160000}"/>
    <cellStyle name="Titre 3 2 4 2" xfId="1914" xr:uid="{00000000-0005-0000-0000-000073160000}"/>
    <cellStyle name="Titre 3 2 4 2 2" xfId="2735" xr:uid="{00000000-0005-0000-0000-000074160000}"/>
    <cellStyle name="Titre 3 2 4 3" xfId="1915" xr:uid="{00000000-0005-0000-0000-000075160000}"/>
    <cellStyle name="Titre 3 2 5" xfId="1916" xr:uid="{00000000-0005-0000-0000-000076160000}"/>
    <cellStyle name="Titre 3 2 5 2" xfId="3751" xr:uid="{00000000-0005-0000-0000-000077160000}"/>
    <cellStyle name="Titre 3 2 5 2 2" xfId="4921" xr:uid="{00000000-0005-0000-0000-000078160000}"/>
    <cellStyle name="Titre 3 2 5 3" xfId="5986" xr:uid="{00000000-0005-0000-0000-000079160000}"/>
    <cellStyle name="Titre 3 2 6" xfId="1917" xr:uid="{00000000-0005-0000-0000-00007A160000}"/>
    <cellStyle name="Titre 3 2 7" xfId="1918" xr:uid="{00000000-0005-0000-0000-00007B160000}"/>
    <cellStyle name="Titre 3 2 7 2" xfId="1919" xr:uid="{00000000-0005-0000-0000-00007C160000}"/>
    <cellStyle name="Titre 3 2 8" xfId="1920" xr:uid="{00000000-0005-0000-0000-00007D160000}"/>
    <cellStyle name="Titre 3 2 8 2" xfId="2737" xr:uid="{00000000-0005-0000-0000-00007E160000}"/>
    <cellStyle name="Titre 3 2 9" xfId="1921" xr:uid="{00000000-0005-0000-0000-00007F160000}"/>
    <cellStyle name="Titre 3 3" xfId="547" xr:uid="{00000000-0005-0000-0000-000080160000}"/>
    <cellStyle name="Titre 3 3 2" xfId="1922" xr:uid="{00000000-0005-0000-0000-000081160000}"/>
    <cellStyle name="Titre 3 3 2 2" xfId="1923" xr:uid="{00000000-0005-0000-0000-000082160000}"/>
    <cellStyle name="Titre 3 3 2 3" xfId="3511" xr:uid="{00000000-0005-0000-0000-000083160000}"/>
    <cellStyle name="Titre 3 3 2 4" xfId="2721" xr:uid="{00000000-0005-0000-0000-000084160000}"/>
    <cellStyle name="Titre 3 3 2 4 2" xfId="4924" xr:uid="{00000000-0005-0000-0000-000085160000}"/>
    <cellStyle name="Titre 3 3 3" xfId="1924" xr:uid="{00000000-0005-0000-0000-000086160000}"/>
    <cellStyle name="Titre 3 3 3 2" xfId="1925" xr:uid="{00000000-0005-0000-0000-000087160000}"/>
    <cellStyle name="Titre 3 3 4" xfId="1926" xr:uid="{00000000-0005-0000-0000-000088160000}"/>
    <cellStyle name="Titre 3 3 4 2" xfId="2738" xr:uid="{00000000-0005-0000-0000-000089160000}"/>
    <cellStyle name="Titre 3 3 5" xfId="1927" xr:uid="{00000000-0005-0000-0000-00008A160000}"/>
    <cellStyle name="Titre 3 4" xfId="548" xr:uid="{00000000-0005-0000-0000-00008B160000}"/>
    <cellStyle name="Titre 3 4 2" xfId="1928" xr:uid="{00000000-0005-0000-0000-00008C160000}"/>
    <cellStyle name="Titre 3 4 3" xfId="1929" xr:uid="{00000000-0005-0000-0000-00008D160000}"/>
    <cellStyle name="Titre 3 4 3 2" xfId="2739" xr:uid="{00000000-0005-0000-0000-00008E160000}"/>
    <cellStyle name="Titre 3 4 4" xfId="1930" xr:uid="{00000000-0005-0000-0000-00008F160000}"/>
    <cellStyle name="Titre 3 5" xfId="549" xr:uid="{00000000-0005-0000-0000-000090160000}"/>
    <cellStyle name="Titre 3 5 2" xfId="1931" xr:uid="{00000000-0005-0000-0000-000091160000}"/>
    <cellStyle name="Titre 3 5 3" xfId="1932" xr:uid="{00000000-0005-0000-0000-000092160000}"/>
    <cellStyle name="Titre 3 5 3 2" xfId="2740" xr:uid="{00000000-0005-0000-0000-000093160000}"/>
    <cellStyle name="Titre 3 5 4" xfId="1933" xr:uid="{00000000-0005-0000-0000-000094160000}"/>
    <cellStyle name="Titre 3 6" xfId="550" xr:uid="{00000000-0005-0000-0000-000095160000}"/>
    <cellStyle name="Titre 3 6 2" xfId="766" xr:uid="{00000000-0005-0000-0000-000096160000}"/>
    <cellStyle name="Titre 3 6 2 2" xfId="4926" xr:uid="{00000000-0005-0000-0000-000097160000}"/>
    <cellStyle name="Titre 3 6 2 3" xfId="4925" xr:uid="{00000000-0005-0000-0000-000098160000}"/>
    <cellStyle name="Titre 3 6 3" xfId="3512" xr:uid="{00000000-0005-0000-0000-000099160000}"/>
    <cellStyle name="Titre 3 6 4" xfId="2741" xr:uid="{00000000-0005-0000-0000-00009A160000}"/>
    <cellStyle name="Titre 3 7" xfId="1908" xr:uid="{00000000-0005-0000-0000-00009B160000}"/>
    <cellStyle name="Titre 3 7 2" xfId="2128" xr:uid="{00000000-0005-0000-0000-00009C160000}"/>
    <cellStyle name="Titre 3 7 3" xfId="3514" xr:uid="{00000000-0005-0000-0000-00009D160000}"/>
    <cellStyle name="Titre 3 8" xfId="3570" xr:uid="{00000000-0005-0000-0000-00009E160000}"/>
    <cellStyle name="Titre 3 9" xfId="4917" xr:uid="{00000000-0005-0000-0000-00009F160000}"/>
    <cellStyle name="Titre 4" xfId="551" builtinId="19" customBuiltin="1"/>
    <cellStyle name="Titre 4 2" xfId="552" xr:uid="{00000000-0005-0000-0000-0000A1160000}"/>
    <cellStyle name="Titre 4 2 2" xfId="553" xr:uid="{00000000-0005-0000-0000-0000A2160000}"/>
    <cellStyle name="Titre 4 2 3" xfId="554" xr:uid="{00000000-0005-0000-0000-0000A3160000}"/>
    <cellStyle name="Titre 4 2 3 2" xfId="3515" xr:uid="{00000000-0005-0000-0000-0000A4160000}"/>
    <cellStyle name="Titre 4 2 4" xfId="1935" xr:uid="{00000000-0005-0000-0000-0000A5160000}"/>
    <cellStyle name="Titre 4 2 4 2" xfId="1936" xr:uid="{00000000-0005-0000-0000-0000A6160000}"/>
    <cellStyle name="Titre 4 2 4 2 2" xfId="2742" xr:uid="{00000000-0005-0000-0000-0000A7160000}"/>
    <cellStyle name="Titre 4 2 4 3" xfId="1937" xr:uid="{00000000-0005-0000-0000-0000A8160000}"/>
    <cellStyle name="Titre 4 2 5" xfId="1938" xr:uid="{00000000-0005-0000-0000-0000A9160000}"/>
    <cellStyle name="Titre 4 2 5 2" xfId="5988" xr:uid="{00000000-0005-0000-0000-0000AA160000}"/>
    <cellStyle name="Titre 4 2 6" xfId="1939" xr:uid="{00000000-0005-0000-0000-0000AB160000}"/>
    <cellStyle name="Titre 4 2 7" xfId="1940" xr:uid="{00000000-0005-0000-0000-0000AC160000}"/>
    <cellStyle name="Titre 4 2 7 2" xfId="1941" xr:uid="{00000000-0005-0000-0000-0000AD160000}"/>
    <cellStyle name="Titre 4 2 8" xfId="1942" xr:uid="{00000000-0005-0000-0000-0000AE160000}"/>
    <cellStyle name="Titre 4 3" xfId="555" xr:uid="{00000000-0005-0000-0000-0000AF160000}"/>
    <cellStyle name="Titre 4 3 2" xfId="1943" xr:uid="{00000000-0005-0000-0000-0000B0160000}"/>
    <cellStyle name="Titre 4 3 2 2" xfId="1944" xr:uid="{00000000-0005-0000-0000-0000B1160000}"/>
    <cellStyle name="Titre 4 3 2 3" xfId="3516" xr:uid="{00000000-0005-0000-0000-0000B2160000}"/>
    <cellStyle name="Titre 4 3 3" xfId="1945" xr:uid="{00000000-0005-0000-0000-0000B3160000}"/>
    <cellStyle name="Titre 4 3 3 2" xfId="1946" xr:uid="{00000000-0005-0000-0000-0000B4160000}"/>
    <cellStyle name="Titre 4 3 4" xfId="1947" xr:uid="{00000000-0005-0000-0000-0000B5160000}"/>
    <cellStyle name="Titre 4 4" xfId="556" xr:uid="{00000000-0005-0000-0000-0000B6160000}"/>
    <cellStyle name="Titre 4 4 2" xfId="1948" xr:uid="{00000000-0005-0000-0000-0000B7160000}"/>
    <cellStyle name="Titre 4 5" xfId="557" xr:uid="{00000000-0005-0000-0000-0000B8160000}"/>
    <cellStyle name="Titre 4 5 2" xfId="1949" xr:uid="{00000000-0005-0000-0000-0000B9160000}"/>
    <cellStyle name="Titre 4 6" xfId="558" xr:uid="{00000000-0005-0000-0000-0000BA160000}"/>
    <cellStyle name="Titre 4 6 2" xfId="783" xr:uid="{00000000-0005-0000-0000-0000BB160000}"/>
    <cellStyle name="Titre 4 6 2 2" xfId="4935" xr:uid="{00000000-0005-0000-0000-0000BC160000}"/>
    <cellStyle name="Titre 4 6 2 3" xfId="4934" xr:uid="{00000000-0005-0000-0000-0000BD160000}"/>
    <cellStyle name="Titre 4 6 3" xfId="3517" xr:uid="{00000000-0005-0000-0000-0000BE160000}"/>
    <cellStyle name="Titre 4 6 4" xfId="2747" xr:uid="{00000000-0005-0000-0000-0000BF160000}"/>
    <cellStyle name="Titre 4 7" xfId="1934" xr:uid="{00000000-0005-0000-0000-0000C0160000}"/>
    <cellStyle name="Titre 4 7 2" xfId="2133" xr:uid="{00000000-0005-0000-0000-0000C1160000}"/>
    <cellStyle name="Titre 4 7 3" xfId="3519" xr:uid="{00000000-0005-0000-0000-0000C2160000}"/>
    <cellStyle name="Titre 4 8" xfId="3571" xr:uid="{00000000-0005-0000-0000-0000C3160000}"/>
    <cellStyle name="Titre 4 9" xfId="4927" xr:uid="{00000000-0005-0000-0000-0000C4160000}"/>
    <cellStyle name="Total" xfId="559" builtinId="25" customBuiltin="1"/>
    <cellStyle name="Total 10" xfId="2748" xr:uid="{00000000-0005-0000-0000-0000C6160000}"/>
    <cellStyle name="Total 10 2" xfId="2551" xr:uid="{00000000-0005-0000-0000-0000C7160000}"/>
    <cellStyle name="Total 10 2 2" xfId="6821" xr:uid="{8EB48E1F-9B1C-4CDB-B351-51BF9F319DD3}"/>
    <cellStyle name="Total 10 3" xfId="4936" xr:uid="{00000000-0005-0000-0000-0000C8160000}"/>
    <cellStyle name="Total 10 4" xfId="6899" xr:uid="{C3A6811B-9FFD-43A7-889F-E6FEE50E827B}"/>
    <cellStyle name="Total 11" xfId="2790" xr:uid="{00000000-0005-0000-0000-0000C9160000}"/>
    <cellStyle name="Total 11 2" xfId="6929" xr:uid="{7F1116E9-1CF5-4963-B85D-F056DD815E7A}"/>
    <cellStyle name="Total 12" xfId="4795" xr:uid="{00000000-0005-0000-0000-0000CA160000}"/>
    <cellStyle name="Total 12 2" xfId="7862" xr:uid="{94E04DEB-7156-4F47-8F4A-E025BFE6CCA4}"/>
    <cellStyle name="Total 13" xfId="5233" xr:uid="{00000000-0005-0000-0000-0000CB160000}"/>
    <cellStyle name="Total 13 2" xfId="8163" xr:uid="{A720EDEA-B24B-45C7-874D-1181B4F05A24}"/>
    <cellStyle name="Total 14" xfId="6288" xr:uid="{A9D3EAAD-B3D3-4237-86BC-59757656C423}"/>
    <cellStyle name="Total 2" xfId="560" xr:uid="{00000000-0005-0000-0000-0000CC160000}"/>
    <cellStyle name="Total 2 10" xfId="2749" xr:uid="{00000000-0005-0000-0000-0000CD160000}"/>
    <cellStyle name="Total 2 10 2" xfId="6900" xr:uid="{E166AAE9-BC02-4DDB-A385-5851B85DBA97}"/>
    <cellStyle name="Total 2 11" xfId="2616" xr:uid="{00000000-0005-0000-0000-0000CE160000}"/>
    <cellStyle name="Total 2 11 2" xfId="6837" xr:uid="{C1070D5D-007E-4FE8-80C0-2A98A461F6AF}"/>
    <cellStyle name="Total 2 12" xfId="3193" xr:uid="{00000000-0005-0000-0000-0000CF160000}"/>
    <cellStyle name="Total 2 12 2" xfId="6988" xr:uid="{6312C66E-5A98-426E-9BD0-DEBC45E57B92}"/>
    <cellStyle name="Total 2 13" xfId="4800" xr:uid="{00000000-0005-0000-0000-0000D0160000}"/>
    <cellStyle name="Total 2 13 2" xfId="7866" xr:uid="{EB13C3D0-B8E8-42E7-9669-388B00793FBE}"/>
    <cellStyle name="Total 2 14" xfId="5223" xr:uid="{00000000-0005-0000-0000-0000D1160000}"/>
    <cellStyle name="Total 2 14 2" xfId="8159" xr:uid="{AF17794D-ADA3-4C59-A493-F14C96ADD54A}"/>
    <cellStyle name="Total 2 15" xfId="634" xr:uid="{00000000-0005-0000-0000-0000D2160000}"/>
    <cellStyle name="Total 2 15 2" xfId="6320" xr:uid="{B3445D0E-A5B1-4D61-A829-99653B3F3C07}"/>
    <cellStyle name="Total 2 16" xfId="5989" xr:uid="{00000000-0005-0000-0000-0000D3160000}"/>
    <cellStyle name="Total 2 16 2" xfId="8791" xr:uid="{24D1D145-1D04-45E9-A98C-5060B5788C43}"/>
    <cellStyle name="Total 2 17" xfId="6026" xr:uid="{00000000-0005-0000-0000-0000D4160000}"/>
    <cellStyle name="Total 2 17 2" xfId="8827" xr:uid="{CAA03A3F-072A-442D-9361-E6487DC7D8A1}"/>
    <cellStyle name="Total 2 18" xfId="6289" xr:uid="{999DAD0B-F35E-4797-A233-24D8D1495836}"/>
    <cellStyle name="Total 2 2" xfId="561" xr:uid="{00000000-0005-0000-0000-0000D5160000}"/>
    <cellStyle name="Total 2 2 10" xfId="5990" xr:uid="{00000000-0005-0000-0000-0000D6160000}"/>
    <cellStyle name="Total 2 2 10 2" xfId="8792" xr:uid="{043130FF-4BB8-48F3-9911-65CBB7A07F34}"/>
    <cellStyle name="Total 2 2 11" xfId="6027" xr:uid="{00000000-0005-0000-0000-0000D7160000}"/>
    <cellStyle name="Total 2 2 11 2" xfId="8828" xr:uid="{533AE8C7-FE1D-4EC3-BB5D-1F657D1E8738}"/>
    <cellStyle name="Total 2 2 12" xfId="6290" xr:uid="{7A55187A-6675-48FD-94A9-4D84126509B9}"/>
    <cellStyle name="Total 2 2 2" xfId="1951" xr:uid="{00000000-0005-0000-0000-0000D8160000}"/>
    <cellStyle name="Total 2 2 2 10" xfId="6028" xr:uid="{00000000-0005-0000-0000-0000D9160000}"/>
    <cellStyle name="Total 2 2 2 10 2" xfId="8829" xr:uid="{69F99632-DE91-4E3A-B4A1-17AB8E0481F1}"/>
    <cellStyle name="Total 2 2 2 11" xfId="6576" xr:uid="{3979BC55-69E3-4695-9617-D829615D50E6}"/>
    <cellStyle name="Total 2 2 2 2" xfId="3520" xr:uid="{00000000-0005-0000-0000-0000DA160000}"/>
    <cellStyle name="Total 2 2 2 2 2" xfId="3726" xr:uid="{00000000-0005-0000-0000-0000DB160000}"/>
    <cellStyle name="Total 2 2 2 2 2 2" xfId="7207" xr:uid="{957B8A87-36AC-47CE-AFE1-82FBB4F15D50}"/>
    <cellStyle name="Total 2 2 2 2 3" xfId="4937" xr:uid="{00000000-0005-0000-0000-0000DC160000}"/>
    <cellStyle name="Total 2 2 2 2 3 2" xfId="7924" xr:uid="{ED8F557C-E32F-4179-80D3-34FE227BFB69}"/>
    <cellStyle name="Total 2 2 2 2 4" xfId="7084" xr:uid="{C5E13600-DBF4-4BFA-8FE0-51DED4395FEF}"/>
    <cellStyle name="Total 2 2 2 3" xfId="2751" xr:uid="{00000000-0005-0000-0000-0000DD160000}"/>
    <cellStyle name="Total 2 2 2 3 2" xfId="6902" xr:uid="{DFDC4AA7-3059-498F-989B-8835B77B3345}"/>
    <cellStyle name="Total 2 2 2 4" xfId="3636" xr:uid="{00000000-0005-0000-0000-0000DE160000}"/>
    <cellStyle name="Total 2 2 2 4 2" xfId="7123" xr:uid="{034C469C-A7AF-4D93-89AA-87607C929E19}"/>
    <cellStyle name="Total 2 2 2 5" xfId="3610" xr:uid="{00000000-0005-0000-0000-0000DF160000}"/>
    <cellStyle name="Total 2 2 2 5 2" xfId="7106" xr:uid="{B783F3E9-398D-4E47-820F-64AB9300B75C}"/>
    <cellStyle name="Total 2 2 2 6" xfId="4119" xr:uid="{00000000-0005-0000-0000-0000E0160000}"/>
    <cellStyle name="Total 2 2 2 6 2" xfId="7392" xr:uid="{11273351-4236-4656-8DCC-D2B89489EB0B}"/>
    <cellStyle name="Total 2 2 2 7" xfId="5542" xr:uid="{00000000-0005-0000-0000-0000E1160000}"/>
    <cellStyle name="Total 2 2 2 7 2" xfId="8439" xr:uid="{918F2203-0094-4511-80CF-9928ACDB01C8}"/>
    <cellStyle name="Total 2 2 2 8" xfId="5582" xr:uid="{00000000-0005-0000-0000-0000E2160000}"/>
    <cellStyle name="Total 2 2 2 8 2" xfId="8476" xr:uid="{A1A7E51D-C8B4-43E8-9FF8-F5C6F765AE37}"/>
    <cellStyle name="Total 2 2 2 9" xfId="5991" xr:uid="{00000000-0005-0000-0000-0000E3160000}"/>
    <cellStyle name="Total 2 2 2 9 2" xfId="8793" xr:uid="{3E155370-E007-49E7-894D-0A9D5D27FF3A}"/>
    <cellStyle name="Total 2 2 3" xfId="1952" xr:uid="{00000000-0005-0000-0000-0000E4160000}"/>
    <cellStyle name="Total 2 2 3 2" xfId="2187" xr:uid="{00000000-0005-0000-0000-0000E5160000}"/>
    <cellStyle name="Total 2 2 3 2 2" xfId="6658" xr:uid="{85608666-0288-45B9-9ACC-6A1A24F881FB}"/>
    <cellStyle name="Total 2 2 3 3" xfId="4938" xr:uid="{00000000-0005-0000-0000-0000E6160000}"/>
    <cellStyle name="Total 2 2 3 3 2" xfId="7925" xr:uid="{4498DA77-50B2-4075-9C92-9141DFD7F96C}"/>
    <cellStyle name="Total 2 2 3 4" xfId="6577" xr:uid="{A9A81F6B-4845-4762-B0BA-B99F664F1632}"/>
    <cellStyle name="Total 2 2 4" xfId="2750" xr:uid="{00000000-0005-0000-0000-0000E7160000}"/>
    <cellStyle name="Total 2 2 4 2" xfId="6901" xr:uid="{D0A0C750-A8A2-440A-B2DC-274754940853}"/>
    <cellStyle name="Total 2 2 5" xfId="3422" xr:uid="{00000000-0005-0000-0000-0000E8160000}"/>
    <cellStyle name="Total 2 2 5 2" xfId="7037" xr:uid="{5E14F008-135A-4A2A-84E4-44D1F89390AE}"/>
    <cellStyle name="Total 2 2 6" xfId="3649" xr:uid="{00000000-0005-0000-0000-0000E9160000}"/>
    <cellStyle name="Total 2 2 6 2" xfId="7136" xr:uid="{DD6AE3FC-BA2D-4EB6-B98C-244C297D4264}"/>
    <cellStyle name="Total 2 2 7" xfId="4660" xr:uid="{00000000-0005-0000-0000-0000EA160000}"/>
    <cellStyle name="Total 2 2 7 2" xfId="7807" xr:uid="{B9B0FFBB-C1BC-4196-8F4C-1799736D0ECB}"/>
    <cellStyle name="Total 2 2 8" xfId="5242" xr:uid="{00000000-0005-0000-0000-0000EB160000}"/>
    <cellStyle name="Total 2 2 8 2" xfId="8164" xr:uid="{DF51287E-C341-48C2-A0B1-453983745729}"/>
    <cellStyle name="Total 2 2 9" xfId="674" xr:uid="{00000000-0005-0000-0000-0000EC160000}"/>
    <cellStyle name="Total 2 2 9 2" xfId="6343" xr:uid="{770C961F-46A2-4083-81DA-3C00B2188F7B}"/>
    <cellStyle name="Total 2 3" xfId="562" xr:uid="{00000000-0005-0000-0000-0000ED160000}"/>
    <cellStyle name="Total 2 3 10" xfId="5992" xr:uid="{00000000-0005-0000-0000-0000EE160000}"/>
    <cellStyle name="Total 2 3 10 2" xfId="8794" xr:uid="{A4384CD0-0FFC-48F8-A91B-8453B780D48D}"/>
    <cellStyle name="Total 2 3 11" xfId="6029" xr:uid="{00000000-0005-0000-0000-0000EF160000}"/>
    <cellStyle name="Total 2 3 11 2" xfId="8830" xr:uid="{D208C9B5-FBD3-4855-A3E4-25047A23B0F2}"/>
    <cellStyle name="Total 2 3 12" xfId="6291" xr:uid="{087DC34D-EC9A-4877-B953-34FC26555E80}"/>
    <cellStyle name="Total 2 3 2" xfId="1953" xr:uid="{00000000-0005-0000-0000-0000F0160000}"/>
    <cellStyle name="Total 2 3 2 10" xfId="5993" xr:uid="{00000000-0005-0000-0000-0000F1160000}"/>
    <cellStyle name="Total 2 3 2 10 2" xfId="8795" xr:uid="{E6DFF99F-44FF-4DCF-A3E6-5ADA535FA2D0}"/>
    <cellStyle name="Total 2 3 2 11" xfId="6030" xr:uid="{00000000-0005-0000-0000-0000F2160000}"/>
    <cellStyle name="Total 2 3 2 11 2" xfId="8831" xr:uid="{36AA9874-BF4D-41A0-85DF-67B5B24BF79B}"/>
    <cellStyle name="Total 2 3 2 12" xfId="6578" xr:uid="{4D5C4F42-B93F-4303-9D22-2D5E31C855C6}"/>
    <cellStyle name="Total 2 3 2 2" xfId="3521" xr:uid="{00000000-0005-0000-0000-0000F3160000}"/>
    <cellStyle name="Total 2 3 2 2 2" xfId="3727" xr:uid="{00000000-0005-0000-0000-0000F4160000}"/>
    <cellStyle name="Total 2 3 2 2 2 2" xfId="7208" xr:uid="{406ADB8D-CC6B-464B-8B8A-A5EE1B9BF7C3}"/>
    <cellStyle name="Total 2 3 2 2 3" xfId="4940" xr:uid="{00000000-0005-0000-0000-0000F5160000}"/>
    <cellStyle name="Total 2 3 2 2 3 2" xfId="7927" xr:uid="{2997F012-2263-4600-896C-4905B1F6D200}"/>
    <cellStyle name="Total 2 3 2 2 4" xfId="7085" xr:uid="{41C03C0D-7DFA-46EF-81FF-ED2216DDEB9A}"/>
    <cellStyle name="Total 2 3 2 3" xfId="2753" xr:uid="{00000000-0005-0000-0000-0000F6160000}"/>
    <cellStyle name="Total 2 3 2 3 2" xfId="4941" xr:uid="{00000000-0005-0000-0000-0000F7160000}"/>
    <cellStyle name="Total 2 3 2 3 2 2" xfId="7928" xr:uid="{B907144A-7131-42E8-BB37-1BA615F46937}"/>
    <cellStyle name="Total 2 3 2 3 3" xfId="6904" xr:uid="{967FBA5D-13D6-4BF9-A15D-F3C43472A097}"/>
    <cellStyle name="Total 2 3 2 4" xfId="3637" xr:uid="{00000000-0005-0000-0000-0000F8160000}"/>
    <cellStyle name="Total 2 3 2 4 2" xfId="7124" xr:uid="{8096A1A2-5D23-4CA6-A731-55331CFD3372}"/>
    <cellStyle name="Total 2 3 2 5" xfId="3648" xr:uid="{00000000-0005-0000-0000-0000F9160000}"/>
    <cellStyle name="Total 2 3 2 5 2" xfId="7135" xr:uid="{EEBA017D-53A8-4022-AAA4-B345E38B24BB}"/>
    <cellStyle name="Total 2 3 2 6" xfId="4939" xr:uid="{00000000-0005-0000-0000-0000FA160000}"/>
    <cellStyle name="Total 2 3 2 6 2" xfId="7926" xr:uid="{7332047D-1D0C-41C7-B006-246DC35ABD82}"/>
    <cellStyle name="Total 2 3 2 7" xfId="4770" xr:uid="{00000000-0005-0000-0000-0000FB160000}"/>
    <cellStyle name="Total 2 3 2 7 2" xfId="7840" xr:uid="{F722C506-6995-485D-918D-DC623EE39478}"/>
    <cellStyle name="Total 2 3 2 8" xfId="5543" xr:uid="{00000000-0005-0000-0000-0000FC160000}"/>
    <cellStyle name="Total 2 3 2 8 2" xfId="8440" xr:uid="{B712B4F6-9D7C-4925-B307-F44972AA200A}"/>
    <cellStyle name="Total 2 3 2 9" xfId="5581" xr:uid="{00000000-0005-0000-0000-0000FD160000}"/>
    <cellStyle name="Total 2 3 2 9 2" xfId="8475" xr:uid="{3B39C1EE-5270-49FE-BF81-15C56F8F09D2}"/>
    <cellStyle name="Total 2 3 3" xfId="1954" xr:uid="{00000000-0005-0000-0000-0000FE160000}"/>
    <cellStyle name="Total 2 3 3 2" xfId="3676" xr:uid="{00000000-0005-0000-0000-0000FF160000}"/>
    <cellStyle name="Total 2 3 3 2 2" xfId="7158" xr:uid="{AC906E8C-F3CE-4669-937D-EB8041F4AA7E}"/>
    <cellStyle name="Total 2 3 3 3" xfId="4942" xr:uid="{00000000-0005-0000-0000-000000170000}"/>
    <cellStyle name="Total 2 3 3 3 2" xfId="7929" xr:uid="{00695547-432B-49D6-80BA-11ECE0BC4769}"/>
    <cellStyle name="Total 2 3 3 4" xfId="6579" xr:uid="{DFAB5DA3-94DE-44B2-801C-A8CC4629D541}"/>
    <cellStyle name="Total 2 3 4" xfId="2752" xr:uid="{00000000-0005-0000-0000-000001170000}"/>
    <cellStyle name="Total 2 3 4 2" xfId="6903" xr:uid="{4D7189DA-D891-4B83-BCF0-0E2A718EDC7B}"/>
    <cellStyle name="Total 2 3 5" xfId="2186" xr:uid="{00000000-0005-0000-0000-000002170000}"/>
    <cellStyle name="Total 2 3 5 2" xfId="6657" xr:uid="{85EC6C42-BE1B-4A6C-B361-C95A9FF1D904}"/>
    <cellStyle name="Total 2 3 6" xfId="3611" xr:uid="{00000000-0005-0000-0000-000003170000}"/>
    <cellStyle name="Total 2 3 6 2" xfId="7107" xr:uid="{98FE8633-3F63-46C3-A667-CC497B95A625}"/>
    <cellStyle name="Total 2 3 7" xfId="4662" xr:uid="{00000000-0005-0000-0000-000004170000}"/>
    <cellStyle name="Total 2 3 7 2" xfId="7809" xr:uid="{079AB0C8-C9A7-45D6-B113-3FE2101A45C4}"/>
    <cellStyle name="Total 2 3 8" xfId="4756" xr:uid="{00000000-0005-0000-0000-000005170000}"/>
    <cellStyle name="Total 2 3 8 2" xfId="7831" xr:uid="{A61DA854-CE0E-4DDF-8E4E-98DB40FD2004}"/>
    <cellStyle name="Total 2 3 9" xfId="673" xr:uid="{00000000-0005-0000-0000-000006170000}"/>
    <cellStyle name="Total 2 3 9 2" xfId="6342" xr:uid="{E93DD846-A695-4649-A8FF-19DA4C021DE7}"/>
    <cellStyle name="Total 2 4" xfId="1955" xr:uid="{00000000-0005-0000-0000-000007170000}"/>
    <cellStyle name="Total 2 4 10" xfId="6031" xr:uid="{00000000-0005-0000-0000-000008170000}"/>
    <cellStyle name="Total 2 4 10 2" xfId="8832" xr:uid="{2B301714-CE9E-4386-8351-DF3061F85314}"/>
    <cellStyle name="Total 2 4 11" xfId="6580" xr:uid="{F9E85E06-DB81-4F98-9E71-7529A004ABD2}"/>
    <cellStyle name="Total 2 4 2" xfId="1956" xr:uid="{00000000-0005-0000-0000-000009170000}"/>
    <cellStyle name="Total 2 4 2 10" xfId="5995" xr:uid="{00000000-0005-0000-0000-00000A170000}"/>
    <cellStyle name="Total 2 4 2 10 2" xfId="8797" xr:uid="{D4308863-B240-4E76-BA1D-7B3AEFCC0B13}"/>
    <cellStyle name="Total 2 4 2 11" xfId="6032" xr:uid="{00000000-0005-0000-0000-00000B170000}"/>
    <cellStyle name="Total 2 4 2 11 2" xfId="8833" xr:uid="{E947AB38-CFE3-4622-B171-259184DA1528}"/>
    <cellStyle name="Total 2 4 2 12" xfId="6581" xr:uid="{BC58F08A-6BEB-4F3C-BAD8-3F5F156D1993}"/>
    <cellStyle name="Total 2 4 2 2" xfId="3522" xr:uid="{00000000-0005-0000-0000-00000C170000}"/>
    <cellStyle name="Total 2 4 2 2 2" xfId="3728" xr:uid="{00000000-0005-0000-0000-00000D170000}"/>
    <cellStyle name="Total 2 4 2 2 2 2" xfId="7209" xr:uid="{244BEC47-5012-4FF7-B626-4B13C36F1CA3}"/>
    <cellStyle name="Total 2 4 2 2 3" xfId="4944" xr:uid="{00000000-0005-0000-0000-00000E170000}"/>
    <cellStyle name="Total 2 4 2 2 3 2" xfId="7931" xr:uid="{76961FAC-28F5-47D3-A04B-50DA0A2E41DB}"/>
    <cellStyle name="Total 2 4 2 2 4" xfId="7086" xr:uid="{84CD4A9C-56B4-46C6-BF29-0123F6BA325C}"/>
    <cellStyle name="Total 2 4 2 3" xfId="2755" xr:uid="{00000000-0005-0000-0000-00000F170000}"/>
    <cellStyle name="Total 2 4 2 3 2" xfId="4945" xr:uid="{00000000-0005-0000-0000-000010170000}"/>
    <cellStyle name="Total 2 4 2 3 2 2" xfId="7932" xr:uid="{D9635CC5-98C9-4B75-8EAD-7E87FA63281B}"/>
    <cellStyle name="Total 2 4 2 3 3" xfId="6906" xr:uid="{E428E91C-8E2A-4381-97BA-2ED3560B3E72}"/>
    <cellStyle name="Total 2 4 2 4" xfId="3638" xr:uid="{00000000-0005-0000-0000-000011170000}"/>
    <cellStyle name="Total 2 4 2 4 2" xfId="7125" xr:uid="{C471FDF0-D8C5-4084-9564-655B736CD843}"/>
    <cellStyle name="Total 2 4 2 5" xfId="2561" xr:uid="{00000000-0005-0000-0000-000012170000}"/>
    <cellStyle name="Total 2 4 2 5 2" xfId="6824" xr:uid="{04630658-1537-43A6-9762-2DBD9FFA35E9}"/>
    <cellStyle name="Total 2 4 2 6" xfId="4943" xr:uid="{00000000-0005-0000-0000-000013170000}"/>
    <cellStyle name="Total 2 4 2 6 2" xfId="7930" xr:uid="{AA0F276F-65A4-4040-866F-9D064051463A}"/>
    <cellStyle name="Total 2 4 2 7" xfId="4769" xr:uid="{00000000-0005-0000-0000-000014170000}"/>
    <cellStyle name="Total 2 4 2 7 2" xfId="7839" xr:uid="{074E5EAA-5B59-4CC5-9EC7-1F36C21CB242}"/>
    <cellStyle name="Total 2 4 2 8" xfId="5544" xr:uid="{00000000-0005-0000-0000-000015170000}"/>
    <cellStyle name="Total 2 4 2 8 2" xfId="8441" xr:uid="{3A49063D-441A-45A4-94EA-3A18F2ACD54B}"/>
    <cellStyle name="Total 2 4 2 9" xfId="5580" xr:uid="{00000000-0005-0000-0000-000016170000}"/>
    <cellStyle name="Total 2 4 2 9 2" xfId="8474" xr:uid="{D232CEE0-2634-4D4B-A74E-C988CE3BB030}"/>
    <cellStyle name="Total 2 4 3" xfId="1957" xr:uid="{00000000-0005-0000-0000-000017170000}"/>
    <cellStyle name="Total 2 4 3 2" xfId="3677" xr:uid="{00000000-0005-0000-0000-000018170000}"/>
    <cellStyle name="Total 2 4 3 2 2" xfId="7159" xr:uid="{4E5BA004-6338-455A-BFC4-B9CF62B76C5B}"/>
    <cellStyle name="Total 2 4 3 3" xfId="4946" xr:uid="{00000000-0005-0000-0000-000019170000}"/>
    <cellStyle name="Total 2 4 3 3 2" xfId="7933" xr:uid="{9639B1F5-8335-45BA-A1D7-B6947A471C9D}"/>
    <cellStyle name="Total 2 4 3 4" xfId="6582" xr:uid="{5D32A720-5BDF-4E51-9B9F-FB9E332A3219}"/>
    <cellStyle name="Total 2 4 4" xfId="2754" xr:uid="{00000000-0005-0000-0000-00001A170000}"/>
    <cellStyle name="Total 2 4 4 2" xfId="6905" xr:uid="{F0ABB46C-6080-42F4-9237-89E83723FCB8}"/>
    <cellStyle name="Total 2 4 5" xfId="3094" xr:uid="{00000000-0005-0000-0000-00001B170000}"/>
    <cellStyle name="Total 2 4 5 2" xfId="6986" xr:uid="{245A085D-B6CD-4D39-8324-F2494498C4C5}"/>
    <cellStyle name="Total 2 4 6" xfId="2622" xr:uid="{00000000-0005-0000-0000-00001C170000}"/>
    <cellStyle name="Total 2 4 6 2" xfId="6842" xr:uid="{9C70E979-9E30-4C64-A7AB-5E0B0475A8AE}"/>
    <cellStyle name="Total 2 4 7" xfId="4771" xr:uid="{00000000-0005-0000-0000-00001D170000}"/>
    <cellStyle name="Total 2 4 7 2" xfId="7841" xr:uid="{14928039-0E9A-4930-AA16-92C8C81EE7EE}"/>
    <cellStyle name="Total 2 4 8" xfId="4670" xr:uid="{00000000-0005-0000-0000-00001E170000}"/>
    <cellStyle name="Total 2 4 8 2" xfId="7810" xr:uid="{2CAC6C23-8903-4188-AB23-D1371590A050}"/>
    <cellStyle name="Total 2 4 9" xfId="5994" xr:uid="{00000000-0005-0000-0000-00001F170000}"/>
    <cellStyle name="Total 2 4 9 2" xfId="8796" xr:uid="{5A6CA438-CDCF-49B0-9A52-100D3C14B9AB}"/>
    <cellStyle name="Total 2 5" xfId="1958" xr:uid="{00000000-0005-0000-0000-000020170000}"/>
    <cellStyle name="Total 2 5 2" xfId="2756" xr:uid="{00000000-0005-0000-0000-000021170000}"/>
    <cellStyle name="Total 2 5 2 2" xfId="4947" xr:uid="{00000000-0005-0000-0000-000022170000}"/>
    <cellStyle name="Total 2 5 2 2 2" xfId="7934" xr:uid="{9076B575-29EE-4BD4-9A3B-D237B6CEEC16}"/>
    <cellStyle name="Total 2 5 2 3" xfId="5997" xr:uid="{00000000-0005-0000-0000-000023170000}"/>
    <cellStyle name="Total 2 5 2 3 2" xfId="8799" xr:uid="{8FEC0853-8633-4A0B-BDD9-9502ED4C9660}"/>
    <cellStyle name="Total 2 5 2 4" xfId="6034" xr:uid="{00000000-0005-0000-0000-000024170000}"/>
    <cellStyle name="Total 2 5 2 4 2" xfId="8835" xr:uid="{83E43817-82E9-4092-A18E-6CE872AFBB38}"/>
    <cellStyle name="Total 2 5 2 5" xfId="6907" xr:uid="{B02EE97E-A8DE-4C7E-970D-7658D8537216}"/>
    <cellStyle name="Total 2 5 3" xfId="2188" xr:uid="{00000000-0005-0000-0000-000025170000}"/>
    <cellStyle name="Total 2 5 3 2" xfId="6659" xr:uid="{7B0539ED-A6BB-40FB-A36E-C84CED1D81AB}"/>
    <cellStyle name="Total 2 5 4" xfId="2068" xr:uid="{00000000-0005-0000-0000-000026170000}"/>
    <cellStyle name="Total 2 5 4 2" xfId="6627" xr:uid="{F5D9CE1F-DAED-4673-BC0B-0EEEDFFF05FE}"/>
    <cellStyle name="Total 2 5 5" xfId="5545" xr:uid="{00000000-0005-0000-0000-000027170000}"/>
    <cellStyle name="Total 2 5 5 2" xfId="8442" xr:uid="{45EE781A-3CC8-4EE7-B357-C36380FF0A28}"/>
    <cellStyle name="Total 2 5 6" xfId="5996" xr:uid="{00000000-0005-0000-0000-000028170000}"/>
    <cellStyle name="Total 2 5 6 2" xfId="8798" xr:uid="{2356288E-28BD-4C6F-85CF-C15FE631D3D8}"/>
    <cellStyle name="Total 2 5 7" xfId="6033" xr:uid="{00000000-0005-0000-0000-000029170000}"/>
    <cellStyle name="Total 2 5 7 2" xfId="8834" xr:uid="{124ABF24-7763-4DCA-8553-15CB3770B1C8}"/>
    <cellStyle name="Total 2 5 8" xfId="6583" xr:uid="{A38B1B62-A27A-4207-8C1C-410A58B0F1A8}"/>
    <cellStyle name="Total 2 6" xfId="1959" xr:uid="{00000000-0005-0000-0000-00002A170000}"/>
    <cellStyle name="Total 2 6 2" xfId="2757" xr:uid="{00000000-0005-0000-0000-00002B170000}"/>
    <cellStyle name="Total 2 6 2 2" xfId="6908" xr:uid="{B7925C1A-B051-4756-A655-E6A232037DCC}"/>
    <cellStyle name="Total 2 6 3" xfId="4948" xr:uid="{00000000-0005-0000-0000-00002C170000}"/>
    <cellStyle name="Total 2 6 3 2" xfId="7935" xr:uid="{9EC30660-9D9B-40BD-9BEB-5D1C6D61EF6E}"/>
    <cellStyle name="Total 2 6 4" xfId="5546" xr:uid="{00000000-0005-0000-0000-00002D170000}"/>
    <cellStyle name="Total 2 6 4 2" xfId="8443" xr:uid="{25C9ECAC-0D01-43E4-AC1E-603A7B1A71C3}"/>
    <cellStyle name="Total 2 6 5" xfId="5998" xr:uid="{00000000-0005-0000-0000-00002E170000}"/>
    <cellStyle name="Total 2 6 5 2" xfId="8800" xr:uid="{FAF3D453-8C26-435A-9E72-42A680AFC691}"/>
    <cellStyle name="Total 2 6 6" xfId="6035" xr:uid="{00000000-0005-0000-0000-00002F170000}"/>
    <cellStyle name="Total 2 6 6 2" xfId="8836" xr:uid="{4BF97F5E-57D6-4767-98F5-E3F382413A62}"/>
    <cellStyle name="Total 2 6 7" xfId="6584" xr:uid="{CDCBC8AE-D2A8-4D44-B241-AC33C2DFFCB0}"/>
    <cellStyle name="Total 2 7" xfId="1960" xr:uid="{00000000-0005-0000-0000-000030170000}"/>
    <cellStyle name="Total 2 7 2" xfId="1961" xr:uid="{00000000-0005-0000-0000-000031170000}"/>
    <cellStyle name="Total 2 7 2 2" xfId="2759" xr:uid="{00000000-0005-0000-0000-000032170000}"/>
    <cellStyle name="Total 2 7 2 2 2" xfId="6910" xr:uid="{49EBC9DA-5209-4CF8-9560-C3464500BBEE}"/>
    <cellStyle name="Total 2 7 2 3" xfId="4950" xr:uid="{00000000-0005-0000-0000-000033170000}"/>
    <cellStyle name="Total 2 7 2 3 2" xfId="7937" xr:uid="{DF57EB69-799B-47B7-ADBD-62E4FC68071F}"/>
    <cellStyle name="Total 2 7 2 4" xfId="5548" xr:uid="{00000000-0005-0000-0000-000034170000}"/>
    <cellStyle name="Total 2 7 2 4 2" xfId="8445" xr:uid="{1D283CA8-2858-489C-A439-EC72FF3167C7}"/>
    <cellStyle name="Total 2 7 2 5" xfId="6586" xr:uid="{AE23A498-7B07-4093-A57F-7C45DE7198DC}"/>
    <cellStyle name="Total 2 7 3" xfId="2758" xr:uid="{00000000-0005-0000-0000-000035170000}"/>
    <cellStyle name="Total 2 7 3 2" xfId="6909" xr:uid="{9671C18D-BCC5-4EA8-BF66-F08ED1F92986}"/>
    <cellStyle name="Total 2 7 4" xfId="4949" xr:uid="{00000000-0005-0000-0000-000036170000}"/>
    <cellStyle name="Total 2 7 4 2" xfId="7936" xr:uid="{79A0EEBF-4273-4D3E-91E8-798812A75587}"/>
    <cellStyle name="Total 2 7 5" xfId="5547" xr:uid="{00000000-0005-0000-0000-000037170000}"/>
    <cellStyle name="Total 2 7 5 2" xfId="8444" xr:uid="{7952C035-7418-4515-BCA0-5B1B9C3BC12A}"/>
    <cellStyle name="Total 2 7 6" xfId="6585" xr:uid="{5D3552DA-9ECA-4BFF-B974-279EAF916F4B}"/>
    <cellStyle name="Total 2 8" xfId="1962" xr:uid="{00000000-0005-0000-0000-000038170000}"/>
    <cellStyle name="Total 2 8 2" xfId="2760" xr:uid="{00000000-0005-0000-0000-000039170000}"/>
    <cellStyle name="Total 2 8 2 2" xfId="4952" xr:uid="{00000000-0005-0000-0000-00003A170000}"/>
    <cellStyle name="Total 2 8 2 2 2" xfId="7939" xr:uid="{F83544F9-47B6-4499-A777-5472E68CE43D}"/>
    <cellStyle name="Total 2 8 2 3" xfId="6911" xr:uid="{25D0624E-145D-417B-9B97-84273FC16B82}"/>
    <cellStyle name="Total 2 8 3" xfId="4951" xr:uid="{00000000-0005-0000-0000-00003B170000}"/>
    <cellStyle name="Total 2 8 3 2" xfId="7938" xr:uid="{B75ED47C-0A7A-4CC4-A998-1375BD0AF73A}"/>
    <cellStyle name="Total 2 8 4" xfId="5549" xr:uid="{00000000-0005-0000-0000-00003C170000}"/>
    <cellStyle name="Total 2 8 4 2" xfId="8446" xr:uid="{D1BA4916-F0F1-4E8A-95FF-349C8DE7C0F2}"/>
    <cellStyle name="Total 2 8 5" xfId="6587" xr:uid="{DBF02375-864F-48DC-AD68-B44CEC9FCF4A}"/>
    <cellStyle name="Total 2 9" xfId="1963" xr:uid="{00000000-0005-0000-0000-00003D170000}"/>
    <cellStyle name="Total 2 9 2" xfId="4953" xr:uid="{00000000-0005-0000-0000-00003E170000}"/>
    <cellStyle name="Total 2 9 2 2" xfId="7940" xr:uid="{756BF593-E3A3-40D0-B491-0DA876F46CD0}"/>
    <cellStyle name="Total 2 9 3" xfId="6588" xr:uid="{2E8D40FE-D2C1-4A1F-ABFC-EE2274372E44}"/>
    <cellStyle name="Total 3" xfId="563" xr:uid="{00000000-0005-0000-0000-00003F170000}"/>
    <cellStyle name="Total 3 10" xfId="4781" xr:uid="{00000000-0005-0000-0000-000040170000}"/>
    <cellStyle name="Total 3 10 2" xfId="7850" xr:uid="{34321F03-775E-47C0-B90E-B7996EE2506E}"/>
    <cellStyle name="Total 3 11" xfId="633" xr:uid="{00000000-0005-0000-0000-000041170000}"/>
    <cellStyle name="Total 3 11 2" xfId="6319" xr:uid="{59067771-AABF-49A3-B291-4046F66713B3}"/>
    <cellStyle name="Total 3 12" xfId="5999" xr:uid="{00000000-0005-0000-0000-000042170000}"/>
    <cellStyle name="Total 3 12 2" xfId="8801" xr:uid="{D7C36532-905E-4643-A8B8-EFA7E85469DB}"/>
    <cellStyle name="Total 3 13" xfId="6036" xr:uid="{00000000-0005-0000-0000-000043170000}"/>
    <cellStyle name="Total 3 13 2" xfId="8837" xr:uid="{AD5F299B-278D-4166-B598-E2471ECD0710}"/>
    <cellStyle name="Total 3 14" xfId="6292" xr:uid="{6C6BB29A-2297-47A7-8492-2E606B262D9B}"/>
    <cellStyle name="Total 3 2" xfId="1964" xr:uid="{00000000-0005-0000-0000-000044170000}"/>
    <cellStyle name="Total 3 2 10" xfId="5579" xr:uid="{00000000-0005-0000-0000-000045170000}"/>
    <cellStyle name="Total 3 2 10 2" xfId="8473" xr:uid="{3CFA6F90-217C-4FD5-9E36-8E263A32E30B}"/>
    <cellStyle name="Total 3 2 11" xfId="6000" xr:uid="{00000000-0005-0000-0000-000046170000}"/>
    <cellStyle name="Total 3 2 11 2" xfId="8802" xr:uid="{D3801512-91A4-43D5-90F7-964F86854180}"/>
    <cellStyle name="Total 3 2 12" xfId="6037" xr:uid="{00000000-0005-0000-0000-000047170000}"/>
    <cellStyle name="Total 3 2 12 2" xfId="8838" xr:uid="{6CF6613B-370B-4464-AF00-F69D6DBA68A0}"/>
    <cellStyle name="Total 3 2 13" xfId="6589" xr:uid="{23FB5295-739E-466C-8B55-6681AFBAEE5D}"/>
    <cellStyle name="Total 3 2 2" xfId="1965" xr:uid="{00000000-0005-0000-0000-000048170000}"/>
    <cellStyle name="Total 3 2 2 2" xfId="2763" xr:uid="{00000000-0005-0000-0000-000049170000}"/>
    <cellStyle name="Total 3 2 2 2 2" xfId="6914" xr:uid="{20AF16B2-7150-41FD-8BE9-66E96F95E89D}"/>
    <cellStyle name="Total 3 2 2 3" xfId="3729" xr:uid="{00000000-0005-0000-0000-00004A170000}"/>
    <cellStyle name="Total 3 2 2 3 2" xfId="7210" xr:uid="{C415AB58-157A-46BA-9448-6B419561CFD3}"/>
    <cellStyle name="Total 3 2 2 4" xfId="4955" xr:uid="{00000000-0005-0000-0000-00004B170000}"/>
    <cellStyle name="Total 3 2 2 4 2" xfId="7942" xr:uid="{F0E0C62C-0889-4866-98D5-D631EB044E23}"/>
    <cellStyle name="Total 3 2 2 5" xfId="5551" xr:uid="{00000000-0005-0000-0000-00004C170000}"/>
    <cellStyle name="Total 3 2 2 5 2" xfId="8448" xr:uid="{13363F22-4BE8-4137-9244-68F9C8DC40D3}"/>
    <cellStyle name="Total 3 2 2 6" xfId="6590" xr:uid="{F09A61B1-CAF7-4C00-8A7A-C2B71D9FAFAB}"/>
    <cellStyle name="Total 3 2 3" xfId="3523" xr:uid="{00000000-0005-0000-0000-00004D170000}"/>
    <cellStyle name="Total 3 2 3 2" xfId="4956" xr:uid="{00000000-0005-0000-0000-00004E170000}"/>
    <cellStyle name="Total 3 2 3 2 2" xfId="7943" xr:uid="{24D092F6-18C6-4F66-9BBF-623DDFDD390D}"/>
    <cellStyle name="Total 3 2 3 3" xfId="7087" xr:uid="{8C6F80E7-6A28-4E91-B04E-111539DCCCB3}"/>
    <cellStyle name="Total 3 2 4" xfId="2762" xr:uid="{00000000-0005-0000-0000-00004F170000}"/>
    <cellStyle name="Total 3 2 4 2" xfId="4954" xr:uid="{00000000-0005-0000-0000-000050170000}"/>
    <cellStyle name="Total 3 2 4 2 2" xfId="7941" xr:uid="{A9395DAD-C4A5-48BA-90EC-F5C6549DC898}"/>
    <cellStyle name="Total 3 2 4 3" xfId="6913" xr:uid="{1467B1E6-BA1E-4043-894B-B2759F302A41}"/>
    <cellStyle name="Total 3 2 5" xfId="3639" xr:uid="{00000000-0005-0000-0000-000051170000}"/>
    <cellStyle name="Total 3 2 5 2" xfId="7126" xr:uid="{AEA41372-421F-44D2-9461-452645D1889B}"/>
    <cellStyle name="Total 3 2 6" xfId="3455" xr:uid="{00000000-0005-0000-0000-000052170000}"/>
    <cellStyle name="Total 3 2 6 2" xfId="7063" xr:uid="{534BFE95-A0CF-47F3-BD08-CA39198EB4DE}"/>
    <cellStyle name="Total 3 2 7" xfId="3909" xr:uid="{00000000-0005-0000-0000-000053170000}"/>
    <cellStyle name="Total 3 2 7 2" xfId="7257" xr:uid="{46926605-30D4-4B8A-974F-87C38EB38441}"/>
    <cellStyle name="Total 3 2 8" xfId="4122" xr:uid="{00000000-0005-0000-0000-000054170000}"/>
    <cellStyle name="Total 3 2 8 2" xfId="7395" xr:uid="{09DD7622-A3D7-421F-ADA4-08A5B900DC87}"/>
    <cellStyle name="Total 3 2 9" xfId="5550" xr:uid="{00000000-0005-0000-0000-000055170000}"/>
    <cellStyle name="Total 3 2 9 2" xfId="8447" xr:uid="{532C9E93-53DF-4E1A-AC04-203FE65C379D}"/>
    <cellStyle name="Total 3 3" xfId="1966" xr:uid="{00000000-0005-0000-0000-000056170000}"/>
    <cellStyle name="Total 3 3 10" xfId="5578" xr:uid="{00000000-0005-0000-0000-000057170000}"/>
    <cellStyle name="Total 3 3 10 2" xfId="8472" xr:uid="{53DA6232-470D-4A4D-B06A-8F863DAD6398}"/>
    <cellStyle name="Total 3 3 11" xfId="6591" xr:uid="{CDAFC5D4-1557-45B5-9D52-C64733A8DC42}"/>
    <cellStyle name="Total 3 3 2" xfId="1967" xr:uid="{00000000-0005-0000-0000-000058170000}"/>
    <cellStyle name="Total 3 3 2 2" xfId="2765" xr:uid="{00000000-0005-0000-0000-000059170000}"/>
    <cellStyle name="Total 3 3 2 2 2" xfId="6916" xr:uid="{F574FB23-C537-478C-AE47-85BA74EC8375}"/>
    <cellStyle name="Total 3 3 2 3" xfId="3730" xr:uid="{00000000-0005-0000-0000-00005A170000}"/>
    <cellStyle name="Total 3 3 2 3 2" xfId="7211" xr:uid="{6FCC78BA-557F-4D0B-8C47-56E7DDF269D4}"/>
    <cellStyle name="Total 3 3 2 4" xfId="4958" xr:uid="{00000000-0005-0000-0000-00005B170000}"/>
    <cellStyle name="Total 3 3 2 4 2" xfId="7945" xr:uid="{B0A72176-14DE-45B2-8312-FDD242CC537F}"/>
    <cellStyle name="Total 3 3 2 5" xfId="5553" xr:uid="{00000000-0005-0000-0000-00005C170000}"/>
    <cellStyle name="Total 3 3 2 5 2" xfId="8450" xr:uid="{EE69402E-BD8A-421D-A215-641721262F0D}"/>
    <cellStyle name="Total 3 3 2 6" xfId="6592" xr:uid="{7172265F-A86F-4038-9C89-8479047361D4}"/>
    <cellStyle name="Total 3 3 3" xfId="3524" xr:uid="{00000000-0005-0000-0000-00005D170000}"/>
    <cellStyle name="Total 3 3 3 2" xfId="4959" xr:uid="{00000000-0005-0000-0000-00005E170000}"/>
    <cellStyle name="Total 3 3 3 2 2" xfId="7946" xr:uid="{87359F24-FAF0-49A3-A49C-9B920120E68F}"/>
    <cellStyle name="Total 3 3 3 3" xfId="7088" xr:uid="{EC46FD45-E61B-44C4-B858-8708E83F1F8E}"/>
    <cellStyle name="Total 3 3 4" xfId="2764" xr:uid="{00000000-0005-0000-0000-00005F170000}"/>
    <cellStyle name="Total 3 3 4 2" xfId="6915" xr:uid="{5E58ACED-F881-4C83-BB10-D7675B1E7C05}"/>
    <cellStyle name="Total 3 3 5" xfId="3640" xr:uid="{00000000-0005-0000-0000-000060170000}"/>
    <cellStyle name="Total 3 3 5 2" xfId="7127" xr:uid="{1857BDE0-509A-4975-AEC8-9F9A27087B4C}"/>
    <cellStyle name="Total 3 3 6" xfId="3612" xr:uid="{00000000-0005-0000-0000-000061170000}"/>
    <cellStyle name="Total 3 3 6 2" xfId="7108" xr:uid="{4EE1AFA6-E02D-404D-98D3-AEF79527BB8E}"/>
    <cellStyle name="Total 3 3 7" xfId="4957" xr:uid="{00000000-0005-0000-0000-000062170000}"/>
    <cellStyle name="Total 3 3 7 2" xfId="7944" xr:uid="{848594F4-7207-48E6-9BBC-2C95D36E24CE}"/>
    <cellStyle name="Total 3 3 8" xfId="4773" xr:uid="{00000000-0005-0000-0000-000063170000}"/>
    <cellStyle name="Total 3 3 8 2" xfId="7843" xr:uid="{2011221B-B91D-4BBC-85BD-6CD8DEC77F22}"/>
    <cellStyle name="Total 3 3 9" xfId="5552" xr:uid="{00000000-0005-0000-0000-000064170000}"/>
    <cellStyle name="Total 3 3 9 2" xfId="8449" xr:uid="{2BFAB9A0-BD28-4E94-8FAE-D3E9A6FD47AA}"/>
    <cellStyle name="Total 3 4" xfId="1968" xr:uid="{00000000-0005-0000-0000-000065170000}"/>
    <cellStyle name="Total 3 4 2" xfId="2766" xr:uid="{00000000-0005-0000-0000-000066170000}"/>
    <cellStyle name="Total 3 4 2 2" xfId="4961" xr:uid="{00000000-0005-0000-0000-000067170000}"/>
    <cellStyle name="Total 3 4 2 2 2" xfId="7948" xr:uid="{34C653E8-CDD4-4DBE-A2F5-6EBDCC7B92A3}"/>
    <cellStyle name="Total 3 4 2 3" xfId="6917" xr:uid="{37D7139C-2AED-4941-B761-35580DDCBD7D}"/>
    <cellStyle name="Total 3 4 3" xfId="2198" xr:uid="{00000000-0005-0000-0000-000068170000}"/>
    <cellStyle name="Total 3 4 3 2" xfId="6665" xr:uid="{B9D6AF7F-57A4-4030-8A0B-9B0883412553}"/>
    <cellStyle name="Total 3 4 4" xfId="4960" xr:uid="{00000000-0005-0000-0000-000069170000}"/>
    <cellStyle name="Total 3 4 4 2" xfId="7947" xr:uid="{54197271-1DBB-49CF-A638-21BE6C9E1FA8}"/>
    <cellStyle name="Total 3 4 5" xfId="5554" xr:uid="{00000000-0005-0000-0000-00006A170000}"/>
    <cellStyle name="Total 3 4 5 2" xfId="8451" xr:uid="{E8741603-DC2C-4704-BD18-5681B764B4AF}"/>
    <cellStyle name="Total 3 4 6" xfId="6593" xr:uid="{FBEA8BEB-E9C3-4605-8508-6BB1CABA7C93}"/>
    <cellStyle name="Total 3 5" xfId="1969" xr:uid="{00000000-0005-0000-0000-00006B170000}"/>
    <cellStyle name="Total 3 5 2" xfId="4962" xr:uid="{00000000-0005-0000-0000-00006C170000}"/>
    <cellStyle name="Total 3 5 2 2" xfId="7949" xr:uid="{5FE6505D-C4FD-4440-ADA8-477F530BACCE}"/>
    <cellStyle name="Total 3 5 3" xfId="6594" xr:uid="{D36281F5-E10D-443A-8BC2-778CA1185124}"/>
    <cellStyle name="Total 3 6" xfId="2761" xr:uid="{00000000-0005-0000-0000-00006D170000}"/>
    <cellStyle name="Total 3 6 2" xfId="6912" xr:uid="{2B7478FC-C3C9-469F-AF52-2F8501B4C9CE}"/>
    <cellStyle name="Total 3 7" xfId="2788" xr:uid="{00000000-0005-0000-0000-00006E170000}"/>
    <cellStyle name="Total 3 7 2" xfId="6927" xr:uid="{D26A5707-E9F3-41EA-B2B3-E122756AAECD}"/>
    <cellStyle name="Total 3 8" xfId="2621" xr:uid="{00000000-0005-0000-0000-00006F170000}"/>
    <cellStyle name="Total 3 8 2" xfId="6841" xr:uid="{1B783370-4EA4-4DF4-A57C-B9F56DD5B8BB}"/>
    <cellStyle name="Total 3 9" xfId="4799" xr:uid="{00000000-0005-0000-0000-000070170000}"/>
    <cellStyle name="Total 3 9 2" xfId="7865" xr:uid="{DC51F84E-95E5-4F24-BE7F-940CE6007DC3}"/>
    <cellStyle name="Total 4" xfId="564" xr:uid="{00000000-0005-0000-0000-000071170000}"/>
    <cellStyle name="Total 4 10" xfId="675" xr:uid="{00000000-0005-0000-0000-000072170000}"/>
    <cellStyle name="Total 4 10 2" xfId="6344" xr:uid="{83D4A299-FD07-48E7-8658-2D67F3E86A79}"/>
    <cellStyle name="Total 4 11" xfId="6001" xr:uid="{00000000-0005-0000-0000-000073170000}"/>
    <cellStyle name="Total 4 11 2" xfId="8803" xr:uid="{A5AF8D93-AB57-424D-B270-7B313DF8812E}"/>
    <cellStyle name="Total 4 12" xfId="6038" xr:uid="{00000000-0005-0000-0000-000074170000}"/>
    <cellStyle name="Total 4 12 2" xfId="8839" xr:uid="{18CE3C8F-8BA6-46D8-8F33-06454E9FF889}"/>
    <cellStyle name="Total 4 13" xfId="6293" xr:uid="{7B7976E9-8C0D-458A-8C2C-9A1855055793}"/>
    <cellStyle name="Total 4 2" xfId="1970" xr:uid="{00000000-0005-0000-0000-000075170000}"/>
    <cellStyle name="Total 4 2 10" xfId="6002" xr:uid="{00000000-0005-0000-0000-000076170000}"/>
    <cellStyle name="Total 4 2 10 2" xfId="8804" xr:uid="{63793971-14FA-42BC-9494-E44BB0BDB04F}"/>
    <cellStyle name="Total 4 2 11" xfId="6039" xr:uid="{00000000-0005-0000-0000-000077170000}"/>
    <cellStyle name="Total 4 2 11 2" xfId="8840" xr:uid="{35F03776-E786-4561-96ED-2613636D9452}"/>
    <cellStyle name="Total 4 2 12" xfId="6595" xr:uid="{10E15734-0C2C-4405-B557-7C3948D7B4C9}"/>
    <cellStyle name="Total 4 2 2" xfId="3525" xr:uid="{00000000-0005-0000-0000-000078170000}"/>
    <cellStyle name="Total 4 2 2 2" xfId="3731" xr:uid="{00000000-0005-0000-0000-000079170000}"/>
    <cellStyle name="Total 4 2 2 2 2" xfId="7212" xr:uid="{B11326F2-C71E-4977-B296-FB9064AD385E}"/>
    <cellStyle name="Total 4 2 2 3" xfId="4964" xr:uid="{00000000-0005-0000-0000-00007A170000}"/>
    <cellStyle name="Total 4 2 2 3 2" xfId="7951" xr:uid="{EFB6E792-33D4-496B-974A-B35D57DFC3F8}"/>
    <cellStyle name="Total 4 2 2 4" xfId="7089" xr:uid="{65747F1B-A90E-4AE1-8044-3E6FE46104B1}"/>
    <cellStyle name="Total 4 2 3" xfId="2768" xr:uid="{00000000-0005-0000-0000-00007B170000}"/>
    <cellStyle name="Total 4 2 3 2" xfId="6919" xr:uid="{66F689F4-3EDA-4AF3-B1F3-91733E4B3D71}"/>
    <cellStyle name="Total 4 2 4" xfId="3641" xr:uid="{00000000-0005-0000-0000-00007C170000}"/>
    <cellStyle name="Total 4 2 4 2" xfId="7128" xr:uid="{1C14CF3F-B3F8-463E-8C4C-63829C900328}"/>
    <cellStyle name="Total 4 2 5" xfId="3613" xr:uid="{00000000-0005-0000-0000-00007D170000}"/>
    <cellStyle name="Total 4 2 5 2" xfId="7109" xr:uid="{DAC0A724-6080-4B9A-BF21-1833F99757BD}"/>
    <cellStyle name="Total 4 2 6" xfId="4963" xr:uid="{00000000-0005-0000-0000-00007E170000}"/>
    <cellStyle name="Total 4 2 6 2" xfId="7950" xr:uid="{EF5CD1FC-7000-40B5-B54C-9ECB1C9B83F7}"/>
    <cellStyle name="Total 4 2 7" xfId="4772" xr:uid="{00000000-0005-0000-0000-00007F170000}"/>
    <cellStyle name="Total 4 2 7 2" xfId="7842" xr:uid="{7AFE73D2-966D-4537-89C6-3CEE62EC4BA5}"/>
    <cellStyle name="Total 4 2 8" xfId="5556" xr:uid="{00000000-0005-0000-0000-000080170000}"/>
    <cellStyle name="Total 4 2 8 2" xfId="8452" xr:uid="{EA50547E-7FC2-4953-B152-49C45A638596}"/>
    <cellStyle name="Total 4 2 9" xfId="5577" xr:uid="{00000000-0005-0000-0000-000081170000}"/>
    <cellStyle name="Total 4 2 9 2" xfId="8471" xr:uid="{D18B76D3-EF06-4CEC-9224-09960F7C9AE6}"/>
    <cellStyle name="Total 4 3" xfId="1971" xr:uid="{00000000-0005-0000-0000-000082170000}"/>
    <cellStyle name="Total 4 3 2" xfId="2769" xr:uid="{00000000-0005-0000-0000-000083170000}"/>
    <cellStyle name="Total 4 3 2 2" xfId="4966" xr:uid="{00000000-0005-0000-0000-000084170000}"/>
    <cellStyle name="Total 4 3 2 2 2" xfId="7953" xr:uid="{E8A3900C-95D2-4E7E-A100-4D548EC25577}"/>
    <cellStyle name="Total 4 3 2 3" xfId="6920" xr:uid="{9E4B0ECA-BA4E-427C-8782-1A5EF9ED12C5}"/>
    <cellStyle name="Total 4 3 3" xfId="2185" xr:uid="{00000000-0005-0000-0000-000085170000}"/>
    <cellStyle name="Total 4 3 3 2" xfId="6656" xr:uid="{4C37862B-D910-49A6-A680-79A390C2E8C6}"/>
    <cellStyle name="Total 4 3 4" xfId="4965" xr:uid="{00000000-0005-0000-0000-000086170000}"/>
    <cellStyle name="Total 4 3 4 2" xfId="7952" xr:uid="{19CF159B-ACC6-4407-9217-BE3C59FC00D6}"/>
    <cellStyle name="Total 4 3 5" xfId="5557" xr:uid="{00000000-0005-0000-0000-000087170000}"/>
    <cellStyle name="Total 4 3 5 2" xfId="8453" xr:uid="{3F49AF1E-5A1C-455D-AFF9-5CC14C2439B1}"/>
    <cellStyle name="Total 4 3 6" xfId="6596" xr:uid="{600953BD-9189-4BF8-8F3A-3C823598B236}"/>
    <cellStyle name="Total 4 4" xfId="1972" xr:uid="{00000000-0005-0000-0000-000088170000}"/>
    <cellStyle name="Total 4 4 2" xfId="4967" xr:uid="{00000000-0005-0000-0000-000089170000}"/>
    <cellStyle name="Total 4 4 2 2" xfId="7954" xr:uid="{4F79F4E8-1F1F-4609-AACA-800A734863DB}"/>
    <cellStyle name="Total 4 4 3" xfId="6597" xr:uid="{31BB968A-8EAB-4922-9C4C-72E252ADE76D}"/>
    <cellStyle name="Total 4 5" xfId="2767" xr:uid="{00000000-0005-0000-0000-00008A170000}"/>
    <cellStyle name="Total 4 5 2" xfId="6918" xr:uid="{2AD3B94D-B899-44AC-801A-01FCDB160EC2}"/>
    <cellStyle name="Total 4 6" xfId="3423" xr:uid="{00000000-0005-0000-0000-00008B170000}"/>
    <cellStyle name="Total 4 6 2" xfId="7038" xr:uid="{770CAD57-D5A8-4033-A98C-69A942CE927B}"/>
    <cellStyle name="Total 4 7" xfId="2312" xr:uid="{00000000-0005-0000-0000-00008C170000}"/>
    <cellStyle name="Total 4 7 2" xfId="6697" xr:uid="{065BF9F1-C991-4DE2-9299-D22EAB41BB50}"/>
    <cellStyle name="Total 4 8" xfId="4661" xr:uid="{00000000-0005-0000-0000-00008D170000}"/>
    <cellStyle name="Total 4 8 2" xfId="7808" xr:uid="{309538AD-E696-489D-BD11-B215B2C8316B}"/>
    <cellStyle name="Total 4 9" xfId="5228" xr:uid="{00000000-0005-0000-0000-00008E170000}"/>
    <cellStyle name="Total 4 9 2" xfId="8161" xr:uid="{05DD0FE1-01CF-4A0F-AB8F-83708703A21B}"/>
    <cellStyle name="Total 5" xfId="565" xr:uid="{00000000-0005-0000-0000-00008F170000}"/>
    <cellStyle name="Total 5 10" xfId="676" xr:uid="{00000000-0005-0000-0000-000090170000}"/>
    <cellStyle name="Total 5 10 2" xfId="6345" xr:uid="{9DD294BC-9A54-48C6-825D-1DBC0D29A065}"/>
    <cellStyle name="Total 5 11" xfId="6003" xr:uid="{00000000-0005-0000-0000-000091170000}"/>
    <cellStyle name="Total 5 11 2" xfId="8805" xr:uid="{39107770-7133-4573-804D-E3D538A6E8C0}"/>
    <cellStyle name="Total 5 12" xfId="6040" xr:uid="{00000000-0005-0000-0000-000092170000}"/>
    <cellStyle name="Total 5 12 2" xfId="8841" xr:uid="{2BCC3945-66B2-4FD9-A9C6-2D55FE39C7EC}"/>
    <cellStyle name="Total 5 13" xfId="6294" xr:uid="{7571A8BB-B5D4-4232-819B-68B05EB35375}"/>
    <cellStyle name="Total 5 2" xfId="1973" xr:uid="{00000000-0005-0000-0000-000093170000}"/>
    <cellStyle name="Total 5 2 10" xfId="6004" xr:uid="{00000000-0005-0000-0000-000094170000}"/>
    <cellStyle name="Total 5 2 10 2" xfId="8806" xr:uid="{3E62E13E-E5E9-4FA7-9A4C-E88E96745D95}"/>
    <cellStyle name="Total 5 2 11" xfId="6041" xr:uid="{00000000-0005-0000-0000-000095170000}"/>
    <cellStyle name="Total 5 2 11 2" xfId="8842" xr:uid="{A0A3F50B-C8EB-4BEA-931A-6E08EA6810B6}"/>
    <cellStyle name="Total 5 2 12" xfId="6598" xr:uid="{C246CC28-B7CD-440A-8574-5CC032B034BB}"/>
    <cellStyle name="Total 5 2 2" xfId="3526" xr:uid="{00000000-0005-0000-0000-000096170000}"/>
    <cellStyle name="Total 5 2 2 2" xfId="3732" xr:uid="{00000000-0005-0000-0000-000097170000}"/>
    <cellStyle name="Total 5 2 2 2 2" xfId="7213" xr:uid="{074DECCB-24E6-48D2-986E-E25A8BF8D40B}"/>
    <cellStyle name="Total 5 2 2 3" xfId="4969" xr:uid="{00000000-0005-0000-0000-000098170000}"/>
    <cellStyle name="Total 5 2 2 3 2" xfId="7956" xr:uid="{EB76BD34-C04E-4D5C-8614-BA1DF5208F2A}"/>
    <cellStyle name="Total 5 2 2 4" xfId="7090" xr:uid="{B340F130-E606-4C09-A08B-6528953DC30E}"/>
    <cellStyle name="Total 5 2 3" xfId="2771" xr:uid="{00000000-0005-0000-0000-000099170000}"/>
    <cellStyle name="Total 5 2 3 2" xfId="6922" xr:uid="{45880C89-8AF1-492D-B6C7-795927DC4A5C}"/>
    <cellStyle name="Total 5 2 4" xfId="3642" xr:uid="{00000000-0005-0000-0000-00009A170000}"/>
    <cellStyle name="Total 5 2 4 2" xfId="7129" xr:uid="{34C1B443-B418-4724-A52E-A263AC85CDB0}"/>
    <cellStyle name="Total 5 2 5" xfId="3614" xr:uid="{00000000-0005-0000-0000-00009B170000}"/>
    <cellStyle name="Total 5 2 5 2" xfId="7110" xr:uid="{00A436EF-B744-4C1F-B1FA-DA34A9035052}"/>
    <cellStyle name="Total 5 2 6" xfId="4968" xr:uid="{00000000-0005-0000-0000-00009C170000}"/>
    <cellStyle name="Total 5 2 6 2" xfId="7955" xr:uid="{222B2B90-C836-4D8F-8123-C1AD18FEB569}"/>
    <cellStyle name="Total 5 2 7" xfId="4774" xr:uid="{00000000-0005-0000-0000-00009D170000}"/>
    <cellStyle name="Total 5 2 7 2" xfId="7844" xr:uid="{5491935C-69EA-437F-9408-2916BC95C15C}"/>
    <cellStyle name="Total 5 2 8" xfId="5558" xr:uid="{00000000-0005-0000-0000-00009E170000}"/>
    <cellStyle name="Total 5 2 8 2" xfId="8454" xr:uid="{62EFCB88-6214-49FE-AE0C-ABF510ECCD2A}"/>
    <cellStyle name="Total 5 2 9" xfId="5576" xr:uid="{00000000-0005-0000-0000-00009F170000}"/>
    <cellStyle name="Total 5 2 9 2" xfId="8470" xr:uid="{F4948640-8428-4FD4-93D0-D54FD5FDCDD0}"/>
    <cellStyle name="Total 5 3" xfId="1974" xr:uid="{00000000-0005-0000-0000-0000A0170000}"/>
    <cellStyle name="Total 5 3 2" xfId="2772" xr:uid="{00000000-0005-0000-0000-0000A1170000}"/>
    <cellStyle name="Total 5 3 2 2" xfId="4971" xr:uid="{00000000-0005-0000-0000-0000A2170000}"/>
    <cellStyle name="Total 5 3 2 2 2" xfId="7958" xr:uid="{4A4EE4B0-6C4A-46CF-B819-EE3F61DB6D85}"/>
    <cellStyle name="Total 5 3 2 3" xfId="6923" xr:uid="{85139A87-179B-409F-898C-2B08560BEBCF}"/>
    <cellStyle name="Total 5 3 3" xfId="2184" xr:uid="{00000000-0005-0000-0000-0000A3170000}"/>
    <cellStyle name="Total 5 3 3 2" xfId="6655" xr:uid="{607FABC0-DEE9-47EC-917A-AE9E4BBC67DC}"/>
    <cellStyle name="Total 5 3 4" xfId="4970" xr:uid="{00000000-0005-0000-0000-0000A4170000}"/>
    <cellStyle name="Total 5 3 4 2" xfId="7957" xr:uid="{BE11EB4C-5D63-4290-AC04-504233C5BE76}"/>
    <cellStyle name="Total 5 3 5" xfId="5559" xr:uid="{00000000-0005-0000-0000-0000A5170000}"/>
    <cellStyle name="Total 5 3 5 2" xfId="8455" xr:uid="{8C12AF93-20D3-4B22-A8DD-636B6059F225}"/>
    <cellStyle name="Total 5 3 6" xfId="6599" xr:uid="{F10D64F6-845C-4CB2-BB14-46FA5FFAC5D2}"/>
    <cellStyle name="Total 5 4" xfId="1975" xr:uid="{00000000-0005-0000-0000-0000A6170000}"/>
    <cellStyle name="Total 5 4 2" xfId="4972" xr:uid="{00000000-0005-0000-0000-0000A7170000}"/>
    <cellStyle name="Total 5 4 2 2" xfId="7959" xr:uid="{F9AD6DA0-9BCB-4CB2-B373-84E422589354}"/>
    <cellStyle name="Total 5 4 3" xfId="6600" xr:uid="{86AD89CC-0861-4863-8AC4-8BD1D7B53D70}"/>
    <cellStyle name="Total 5 5" xfId="2770" xr:uid="{00000000-0005-0000-0000-0000A8170000}"/>
    <cellStyle name="Total 5 5 2" xfId="6921" xr:uid="{346184DD-29CD-4A42-B087-159148C26B1A}"/>
    <cellStyle name="Total 5 6" xfId="2789" xr:uid="{00000000-0005-0000-0000-0000A9170000}"/>
    <cellStyle name="Total 5 6 2" xfId="6928" xr:uid="{2A500DA9-1820-43EC-A2EC-BD96B0E47201}"/>
    <cellStyle name="Total 5 7" xfId="2311" xr:uid="{00000000-0005-0000-0000-0000AA170000}"/>
    <cellStyle name="Total 5 7 2" xfId="6696" xr:uid="{4346836E-8A72-4D14-8DAB-8F109BEBED52}"/>
    <cellStyle name="Total 5 8" xfId="4790" xr:uid="{00000000-0005-0000-0000-0000AB170000}"/>
    <cellStyle name="Total 5 8 2" xfId="7859" xr:uid="{6B8B1179-F888-4FAA-A264-797AEF6F51F3}"/>
    <cellStyle name="Total 5 9" xfId="5215" xr:uid="{00000000-0005-0000-0000-0000AC170000}"/>
    <cellStyle name="Total 5 9 2" xfId="8157" xr:uid="{02AA7604-182B-43D5-BDDA-C3CE0A74A0BA}"/>
    <cellStyle name="Total 6" xfId="566" xr:uid="{00000000-0005-0000-0000-0000AD170000}"/>
    <cellStyle name="Total 6 10" xfId="6005" xr:uid="{00000000-0005-0000-0000-0000AE170000}"/>
    <cellStyle name="Total 6 10 2" xfId="8807" xr:uid="{8A8C0665-424F-4E8E-902F-70277BB5D2EB}"/>
    <cellStyle name="Total 6 11" xfId="6042" xr:uid="{00000000-0005-0000-0000-0000AF170000}"/>
    <cellStyle name="Total 6 11 2" xfId="8843" xr:uid="{5CA28762-3E94-47F6-99D0-12E0F8000AA1}"/>
    <cellStyle name="Total 6 12" xfId="6295" xr:uid="{E8C9D033-DDE6-4BEC-8531-A843F7D4CD6A}"/>
    <cellStyle name="Total 6 2" xfId="771" xr:uid="{00000000-0005-0000-0000-0000B0170000}"/>
    <cellStyle name="Total 6 2 2" xfId="3528" xr:uid="{00000000-0005-0000-0000-0000B1170000}"/>
    <cellStyle name="Total 6 2 2 2" xfId="3734" xr:uid="{00000000-0005-0000-0000-0000B2170000}"/>
    <cellStyle name="Total 6 2 2 2 2" xfId="7215" xr:uid="{CE2D09E8-DBF4-4DA0-9462-D02A62404A88}"/>
    <cellStyle name="Total 6 2 2 3" xfId="4974" xr:uid="{00000000-0005-0000-0000-0000B3170000}"/>
    <cellStyle name="Total 6 2 2 3 2" xfId="7960" xr:uid="{28785B29-7375-4A3E-A7BC-A62857E24A93}"/>
    <cellStyle name="Total 6 2 2 4" xfId="7092" xr:uid="{156D5D50-EACE-4BC8-8584-65EBA5CAFC39}"/>
    <cellStyle name="Total 6 2 3" xfId="3644" xr:uid="{00000000-0005-0000-0000-0000B4170000}"/>
    <cellStyle name="Total 6 2 3 2" xfId="7131" xr:uid="{E5CDBAC1-EC9B-4D00-8EC2-A2B362F92AF6}"/>
    <cellStyle name="Total 6 2 4" xfId="3615" xr:uid="{00000000-0005-0000-0000-0000B5170000}"/>
    <cellStyle name="Total 6 2 4 2" xfId="7111" xr:uid="{E1AF5E9A-F66B-4102-8526-DBE7139B4618}"/>
    <cellStyle name="Total 6 2 5" xfId="4973" xr:uid="{00000000-0005-0000-0000-0000B6170000}"/>
    <cellStyle name="Total 6 2 6" xfId="4775" xr:uid="{00000000-0005-0000-0000-0000B7170000}"/>
    <cellStyle name="Total 6 2 6 2" xfId="7845" xr:uid="{9904C8D7-B1C9-4F1A-936F-83EDA2249D9F}"/>
    <cellStyle name="Total 6 2 7" xfId="5575" xr:uid="{00000000-0005-0000-0000-0000B8170000}"/>
    <cellStyle name="Total 6 2 7 2" xfId="8469" xr:uid="{6CA6CA6A-D058-4046-BD0B-A4F9D822BB9D}"/>
    <cellStyle name="Total 6 2 8" xfId="6419" xr:uid="{39F4070C-67A4-4E32-9A53-921C57D870A2}"/>
    <cellStyle name="Total 6 3" xfId="3527" xr:uid="{00000000-0005-0000-0000-0000B9170000}"/>
    <cellStyle name="Total 6 3 2" xfId="3733" xr:uid="{00000000-0005-0000-0000-0000BA170000}"/>
    <cellStyle name="Total 6 3 2 2" xfId="7214" xr:uid="{392DEADF-732C-480D-953E-6F564CB73252}"/>
    <cellStyle name="Total 6 3 3" xfId="7091" xr:uid="{DE596CA5-BBE5-4102-A4A8-745A8F347345}"/>
    <cellStyle name="Total 6 4" xfId="2773" xr:uid="{00000000-0005-0000-0000-0000BB170000}"/>
    <cellStyle name="Total 6 5" xfId="3643" xr:uid="{00000000-0005-0000-0000-0000BC170000}"/>
    <cellStyle name="Total 6 5 2" xfId="7130" xr:uid="{EFA8E910-7C5A-405B-B114-1C6669342B5E}"/>
    <cellStyle name="Total 6 6" xfId="2793" xr:uid="{00000000-0005-0000-0000-0000BD170000}"/>
    <cellStyle name="Total 6 6 2" xfId="6932" xr:uid="{14F76051-11AB-490B-8396-844653801CAA}"/>
    <cellStyle name="Total 6 7" xfId="5047" xr:uid="{00000000-0005-0000-0000-0000BE170000}"/>
    <cellStyle name="Total 6 7 2" xfId="8009" xr:uid="{918EB379-62E1-4131-AB33-E535A3FD66D6}"/>
    <cellStyle name="Total 6 8" xfId="5449" xr:uid="{00000000-0005-0000-0000-0000BF170000}"/>
    <cellStyle name="Total 6 8 2" xfId="8357" xr:uid="{45959A4E-C5F9-4972-B260-6E0ACFC5F595}"/>
    <cellStyle name="Total 6 9" xfId="605" xr:uid="{00000000-0005-0000-0000-0000C0170000}"/>
    <cellStyle name="Total 6 9 2" xfId="6309" xr:uid="{A0FC6436-221B-4490-BA0E-31C187037DD5}"/>
    <cellStyle name="Total 7" xfId="1950" xr:uid="{00000000-0005-0000-0000-0000C1170000}"/>
    <cellStyle name="Total 7 2" xfId="2135" xr:uid="{00000000-0005-0000-0000-0000C2170000}"/>
    <cellStyle name="Total 7 2 2" xfId="3735" xr:uid="{00000000-0005-0000-0000-0000C3170000}"/>
    <cellStyle name="Total 7 2 2 2" xfId="7216" xr:uid="{041A521A-6FFD-4931-96FD-8D311FBD2294}"/>
    <cellStyle name="Total 7 2 3" xfId="6645" xr:uid="{F22370EC-027D-422D-91A1-B8793ED9E9F4}"/>
    <cellStyle name="Total 7 3" xfId="3529" xr:uid="{00000000-0005-0000-0000-0000C4170000}"/>
    <cellStyle name="Total 7 3 2" xfId="7093" xr:uid="{66D4C4A4-CA57-4CE2-B380-F0DCF5179EC6}"/>
    <cellStyle name="Total 7 4" xfId="3645" xr:uid="{00000000-0005-0000-0000-0000C5170000}"/>
    <cellStyle name="Total 7 4 2" xfId="7132" xr:uid="{456D68E5-CAA0-43CB-97F3-847F021F4756}"/>
    <cellStyle name="Total 7 5" xfId="2012" xr:uid="{00000000-0005-0000-0000-0000C6170000}"/>
    <cellStyle name="Total 7 5 2" xfId="6601" xr:uid="{20A5386E-5554-453D-B1B1-B108B372B67F}"/>
    <cellStyle name="Total 7 6" xfId="4933" xr:uid="{00000000-0005-0000-0000-0000C7170000}"/>
    <cellStyle name="Total 7 6 2" xfId="7923" xr:uid="{9AF39E7C-860E-465E-A9ED-65BC39A0CD0C}"/>
    <cellStyle name="Total 7 7" xfId="5569" xr:uid="{00000000-0005-0000-0000-0000C8170000}"/>
    <cellStyle name="Total 7 7 2" xfId="8463" xr:uid="{A602B14E-4DED-40B4-B73B-46F8B6B6E01A}"/>
    <cellStyle name="Total 7 8" xfId="6006" xr:uid="{00000000-0005-0000-0000-0000C9170000}"/>
    <cellStyle name="Total 7 8 2" xfId="8808" xr:uid="{BDD975A2-8F7E-43A4-9CC6-F4EED6DA2E22}"/>
    <cellStyle name="Total 7 9" xfId="6043" xr:uid="{00000000-0005-0000-0000-0000CA170000}"/>
    <cellStyle name="Total 7 9 2" xfId="8844" xr:uid="{2B011982-7834-47A0-8AB8-608BE67F1DE0}"/>
    <cellStyle name="Total 8" xfId="3530" xr:uid="{00000000-0005-0000-0000-0000CB170000}"/>
    <cellStyle name="Total 8 2" xfId="3736" xr:uid="{00000000-0005-0000-0000-0000CC170000}"/>
    <cellStyle name="Total 8 2 2" xfId="7217" xr:uid="{460E4628-CDAE-4478-8E30-B93CBB6BC38F}"/>
    <cellStyle name="Total 8 3" xfId="3646" xr:uid="{00000000-0005-0000-0000-0000CD170000}"/>
    <cellStyle name="Total 8 3 2" xfId="7133" xr:uid="{5E38B8CB-03E4-41C9-B9DA-557EA89C0B65}"/>
    <cellStyle name="Total 8 4" xfId="3762" xr:uid="{00000000-0005-0000-0000-0000CE170000}"/>
    <cellStyle name="Total 8 4 2" xfId="7222" xr:uid="{F213B9E2-B23A-42AA-BEF7-9ED62095C090}"/>
    <cellStyle name="Total 8 5" xfId="4764" xr:uid="{00000000-0005-0000-0000-0000CF170000}"/>
    <cellStyle name="Total 8 5 2" xfId="7834" xr:uid="{344B38D6-5307-4382-903B-E94B5A40AF53}"/>
    <cellStyle name="Total 8 6" xfId="5574" xr:uid="{00000000-0005-0000-0000-0000D0170000}"/>
    <cellStyle name="Total 8 6 2" xfId="8468" xr:uid="{02A4E4C4-34C7-410E-B971-3AE583BC452B}"/>
    <cellStyle name="Total 8 7" xfId="7094" xr:uid="{881470FC-2CB8-4115-83AA-A5F9B710BE7F}"/>
    <cellStyle name="Total 9" xfId="3572" xr:uid="{00000000-0005-0000-0000-0000D1170000}"/>
    <cellStyle name="Total 9 2" xfId="3656" xr:uid="{00000000-0005-0000-0000-0000D2170000}"/>
    <cellStyle name="Total 9 2 2" xfId="7142" xr:uid="{E4865868-B489-4D4B-B61D-5039EFBB343D}"/>
    <cellStyle name="Total 9 3" xfId="4976" xr:uid="{00000000-0005-0000-0000-0000D3170000}"/>
    <cellStyle name="Total 9 3 2" xfId="7962" xr:uid="{D4356549-B6E8-488C-8E0A-3086647636F8}"/>
    <cellStyle name="Total 9 4" xfId="4123" xr:uid="{00000000-0005-0000-0000-0000D4170000}"/>
    <cellStyle name="Total 9 4 2" xfId="7396" xr:uid="{26180510-F57C-4B02-A1E9-7CC2C655B435}"/>
    <cellStyle name="Total 9 5" xfId="5570" xr:uid="{00000000-0005-0000-0000-0000D5170000}"/>
    <cellStyle name="Total 9 5 2" xfId="8464" xr:uid="{EA0C3B9C-2D14-4981-ABC9-CE3E67A2A2B1}"/>
    <cellStyle name="Total 9 6" xfId="7102" xr:uid="{3F626531-8A2A-40E9-AAF0-1A0BDA59E4B6}"/>
    <cellStyle name="Vérification" xfId="567" builtinId="23" customBuiltin="1"/>
    <cellStyle name="Vérification 10" xfId="2867" xr:uid="{00000000-0005-0000-0000-0000D7170000}"/>
    <cellStyle name="Vérification 10 2" xfId="4977" xr:uid="{00000000-0005-0000-0000-0000D8170000}"/>
    <cellStyle name="Vérification 2" xfId="568" xr:uid="{00000000-0005-0000-0000-0000D9170000}"/>
    <cellStyle name="Vérification 2 2" xfId="569" xr:uid="{00000000-0005-0000-0000-0000DA170000}"/>
    <cellStyle name="Vérification 2 2 2" xfId="1977" xr:uid="{00000000-0005-0000-0000-0000DB170000}"/>
    <cellStyle name="Vérification 2 2 2 2" xfId="3531" xr:uid="{00000000-0005-0000-0000-0000DC170000}"/>
    <cellStyle name="Vérification 2 2 2 2 2" xfId="4978" xr:uid="{00000000-0005-0000-0000-0000DD170000}"/>
    <cellStyle name="Vérification 2 2 2 3" xfId="2774" xr:uid="{00000000-0005-0000-0000-0000DE170000}"/>
    <cellStyle name="Vérification 2 2 3" xfId="1978" xr:uid="{00000000-0005-0000-0000-0000DF170000}"/>
    <cellStyle name="Vérification 2 3" xfId="570" xr:uid="{00000000-0005-0000-0000-0000E0170000}"/>
    <cellStyle name="Vérification 2 3 2" xfId="1979" xr:uid="{00000000-0005-0000-0000-0000E1170000}"/>
    <cellStyle name="Vérification 2 3 2 2" xfId="3532" xr:uid="{00000000-0005-0000-0000-0000E2170000}"/>
    <cellStyle name="Vérification 2 3 2 2 2" xfId="4979" xr:uid="{00000000-0005-0000-0000-0000E3170000}"/>
    <cellStyle name="Vérification 2 3 2 3" xfId="2776" xr:uid="{00000000-0005-0000-0000-0000E4170000}"/>
    <cellStyle name="Vérification 2 3 2 3 2" xfId="4980" xr:uid="{00000000-0005-0000-0000-0000E5170000}"/>
    <cellStyle name="Vérification 2 3 3" xfId="1980" xr:uid="{00000000-0005-0000-0000-0000E6170000}"/>
    <cellStyle name="Vérification 2 4" xfId="1981" xr:uid="{00000000-0005-0000-0000-0000E7170000}"/>
    <cellStyle name="Vérification 2 4 2" xfId="1982" xr:uid="{00000000-0005-0000-0000-0000E8170000}"/>
    <cellStyle name="Vérification 2 4 2 2" xfId="3533" xr:uid="{00000000-0005-0000-0000-0000E9170000}"/>
    <cellStyle name="Vérification 2 4 2 2 2" xfId="4982" xr:uid="{00000000-0005-0000-0000-0000EA170000}"/>
    <cellStyle name="Vérification 2 4 2 3" xfId="2777" xr:uid="{00000000-0005-0000-0000-0000EB170000}"/>
    <cellStyle name="Vérification 2 4 2 3 2" xfId="4983" xr:uid="{00000000-0005-0000-0000-0000EC170000}"/>
    <cellStyle name="Vérification 2 4 3" xfId="1983" xr:uid="{00000000-0005-0000-0000-0000ED170000}"/>
    <cellStyle name="Vérification 2 5" xfId="1984" xr:uid="{00000000-0005-0000-0000-0000EE170000}"/>
    <cellStyle name="Vérification 2 5 2" xfId="2517" xr:uid="{00000000-0005-0000-0000-0000EF170000}"/>
    <cellStyle name="Vérification 2 5 2 2" xfId="4984" xr:uid="{00000000-0005-0000-0000-0000F0170000}"/>
    <cellStyle name="Vérification 2 5 3" xfId="6007" xr:uid="{00000000-0005-0000-0000-0000F1170000}"/>
    <cellStyle name="Vérification 2 6" xfId="1985" xr:uid="{00000000-0005-0000-0000-0000F2170000}"/>
    <cellStyle name="Vérification 2 7" xfId="1986" xr:uid="{00000000-0005-0000-0000-0000F3170000}"/>
    <cellStyle name="Vérification 2 7 2" xfId="1987" xr:uid="{00000000-0005-0000-0000-0000F4170000}"/>
    <cellStyle name="Vérification 2 8" xfId="1988" xr:uid="{00000000-0005-0000-0000-0000F5170000}"/>
    <cellStyle name="Vérification 2 8 2" xfId="2778" xr:uid="{00000000-0005-0000-0000-0000F6170000}"/>
    <cellStyle name="Vérification 2 9" xfId="1989" xr:uid="{00000000-0005-0000-0000-0000F7170000}"/>
    <cellStyle name="Vérification 3" xfId="571" xr:uid="{00000000-0005-0000-0000-0000F8170000}"/>
    <cellStyle name="Vérification 3 2" xfId="1990" xr:uid="{00000000-0005-0000-0000-0000F9170000}"/>
    <cellStyle name="Vérification 3 2 2" xfId="1991" xr:uid="{00000000-0005-0000-0000-0000FA170000}"/>
    <cellStyle name="Vérification 3 2 3" xfId="3534" xr:uid="{00000000-0005-0000-0000-0000FB170000}"/>
    <cellStyle name="Vérification 3 2 4" xfId="2518" xr:uid="{00000000-0005-0000-0000-0000FC170000}"/>
    <cellStyle name="Vérification 3 2 4 2" xfId="4986" xr:uid="{00000000-0005-0000-0000-0000FD170000}"/>
    <cellStyle name="Vérification 3 3" xfId="1992" xr:uid="{00000000-0005-0000-0000-0000FE170000}"/>
    <cellStyle name="Vérification 3 3 2" xfId="1993" xr:uid="{00000000-0005-0000-0000-0000FF170000}"/>
    <cellStyle name="Vérification 3 3 3" xfId="3535" xr:uid="{00000000-0005-0000-0000-000000180000}"/>
    <cellStyle name="Vérification 3 4" xfId="1994" xr:uid="{00000000-0005-0000-0000-000001180000}"/>
    <cellStyle name="Vérification 3 4 2" xfId="2779" xr:uid="{00000000-0005-0000-0000-000002180000}"/>
    <cellStyle name="Vérification 3 5" xfId="1995" xr:uid="{00000000-0005-0000-0000-000003180000}"/>
    <cellStyle name="Vérification 3 5 2" xfId="3908" xr:uid="{00000000-0005-0000-0000-000004180000}"/>
    <cellStyle name="Vérification 4" xfId="572" xr:uid="{00000000-0005-0000-0000-000005180000}"/>
    <cellStyle name="Vérification 4 2" xfId="1996" xr:uid="{00000000-0005-0000-0000-000006180000}"/>
    <cellStyle name="Vérification 4 2 2" xfId="3536" xr:uid="{00000000-0005-0000-0000-000007180000}"/>
    <cellStyle name="Vérification 4 3" xfId="1997" xr:uid="{00000000-0005-0000-0000-000008180000}"/>
    <cellStyle name="Vérification 4 3 2" xfId="2780" xr:uid="{00000000-0005-0000-0000-000009180000}"/>
    <cellStyle name="Vérification 4 4" xfId="1998" xr:uid="{00000000-0005-0000-0000-00000A180000}"/>
    <cellStyle name="Vérification 5" xfId="573" xr:uid="{00000000-0005-0000-0000-00000B180000}"/>
    <cellStyle name="Vérification 5 2" xfId="1999" xr:uid="{00000000-0005-0000-0000-00000C180000}"/>
    <cellStyle name="Vérification 5 2 2" xfId="3537" xr:uid="{00000000-0005-0000-0000-00000D180000}"/>
    <cellStyle name="Vérification 5 3" xfId="2000" xr:uid="{00000000-0005-0000-0000-00000E180000}"/>
    <cellStyle name="Vérification 5 3 2" xfId="2781" xr:uid="{00000000-0005-0000-0000-00000F180000}"/>
    <cellStyle name="Vérification 5 4" xfId="2001" xr:uid="{00000000-0005-0000-0000-000010180000}"/>
    <cellStyle name="Vérification 6" xfId="574" xr:uid="{00000000-0005-0000-0000-000011180000}"/>
    <cellStyle name="Vérification 6 2" xfId="775" xr:uid="{00000000-0005-0000-0000-000012180000}"/>
    <cellStyle name="Vérification 6 2 2" xfId="4991" xr:uid="{00000000-0005-0000-0000-000013180000}"/>
    <cellStyle name="Vérification 6 2 3" xfId="4990" xr:uid="{00000000-0005-0000-0000-000014180000}"/>
    <cellStyle name="Vérification 6 3" xfId="3538" xr:uid="{00000000-0005-0000-0000-000015180000}"/>
    <cellStyle name="Vérification 6 4" xfId="2782" xr:uid="{00000000-0005-0000-0000-000016180000}"/>
    <cellStyle name="Vérification 7" xfId="1976" xr:uid="{00000000-0005-0000-0000-000017180000}"/>
    <cellStyle name="Vérification 7 2" xfId="2138" xr:uid="{00000000-0005-0000-0000-000018180000}"/>
    <cellStyle name="Vérification 8" xfId="3539" xr:uid="{00000000-0005-0000-0000-000019180000}"/>
    <cellStyle name="Vérification 9" xfId="3573" xr:uid="{00000000-0005-0000-0000-00001A18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82E3E535-1B7D-4D82-A3EB-C1B47ECB65EC}"/>
  </tableStyles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205740</xdr:colOff>
      <xdr:row>51</xdr:row>
      <xdr:rowOff>57150</xdr:rowOff>
    </xdr:from>
    <xdr:to>
      <xdr:col>18</xdr:col>
      <xdr:colOff>696447</xdr:colOff>
      <xdr:row>79</xdr:row>
      <xdr:rowOff>77320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AA4BA80-5AC7-BD8C-7076-E1832E29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3365" y="11591925"/>
          <a:ext cx="5789782" cy="471599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40</xdr:row>
      <xdr:rowOff>123824</xdr:rowOff>
    </xdr:from>
    <xdr:to>
      <xdr:col>12</xdr:col>
      <xdr:colOff>486860</xdr:colOff>
      <xdr:row>50</xdr:row>
      <xdr:rowOff>76651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2759007-4ED0-3862-348E-0F3E33AFE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50" y="6667499"/>
          <a:ext cx="3772985" cy="1572077"/>
        </a:xfrm>
        <a:prstGeom prst="rect">
          <a:avLst/>
        </a:prstGeom>
      </xdr:spPr>
    </xdr:pic>
    <xdr:clientData/>
  </xdr:twoCellAnchor>
  <xdr:twoCellAnchor editAs="oneCell">
    <xdr:from>
      <xdr:col>9</xdr:col>
      <xdr:colOff>219075</xdr:colOff>
      <xdr:row>31</xdr:row>
      <xdr:rowOff>66853</xdr:rowOff>
    </xdr:from>
    <xdr:to>
      <xdr:col>13</xdr:col>
      <xdr:colOff>534530</xdr:colOff>
      <xdr:row>35</xdr:row>
      <xdr:rowOff>104944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99E5B844-622F-C78E-4DAD-FE6CFD8A7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0325" y="5153203"/>
          <a:ext cx="4554080" cy="685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581773</xdr:colOff>
      <xdr:row>1</xdr:row>
      <xdr:rowOff>22648</xdr:rowOff>
    </xdr:from>
    <xdr:to>
      <xdr:col>21</xdr:col>
      <xdr:colOff>449424</xdr:colOff>
      <xdr:row>6</xdr:row>
      <xdr:rowOff>151554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5EDA903-140F-4153-9358-66F904FC6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40373" y="222673"/>
          <a:ext cx="4439651" cy="938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104775</xdr:colOff>
      <xdr:row>70</xdr:row>
      <xdr:rowOff>38100</xdr:rowOff>
    </xdr:from>
    <xdr:to>
      <xdr:col>13</xdr:col>
      <xdr:colOff>371703</xdr:colOff>
      <xdr:row>72</xdr:row>
      <xdr:rowOff>120674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C5283F5-A777-46DB-BF82-97DA163AD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9267825"/>
          <a:ext cx="4245203" cy="466749"/>
        </a:xfrm>
        <a:prstGeom prst="rect">
          <a:avLst/>
        </a:prstGeom>
      </xdr:spPr>
    </xdr:pic>
    <xdr:clientData/>
  </xdr:twoCellAnchor>
  <xdr:twoCellAnchor editAs="oneCell">
    <xdr:from>
      <xdr:col>10</xdr:col>
      <xdr:colOff>82550</xdr:colOff>
      <xdr:row>55</xdr:row>
      <xdr:rowOff>31749</xdr:rowOff>
    </xdr:from>
    <xdr:to>
      <xdr:col>14</xdr:col>
      <xdr:colOff>295542</xdr:colOff>
      <xdr:row>56</xdr:row>
      <xdr:rowOff>95250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39D50C-1351-4DBC-B901-17F57A51DB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49" t="8822" b="20816"/>
        <a:stretch/>
      </xdr:blipFill>
      <xdr:spPr>
        <a:xfrm>
          <a:off x="8578850" y="6765924"/>
          <a:ext cx="4953267" cy="225426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74</xdr:row>
      <xdr:rowOff>0</xdr:rowOff>
    </xdr:from>
    <xdr:to>
      <xdr:col>14</xdr:col>
      <xdr:colOff>378095</xdr:colOff>
      <xdr:row>75</xdr:row>
      <xdr:rowOff>177819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93AB77AD-8B41-43B3-8F43-E9259070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075" y="9991725"/>
          <a:ext cx="5016770" cy="371494"/>
        </a:xfrm>
        <a:prstGeom prst="rect">
          <a:avLst/>
        </a:prstGeom>
      </xdr:spPr>
    </xdr:pic>
    <xdr:clientData/>
  </xdr:twoCellAnchor>
  <xdr:twoCellAnchor editAs="oneCell">
    <xdr:from>
      <xdr:col>10</xdr:col>
      <xdr:colOff>232833</xdr:colOff>
      <xdr:row>4</xdr:row>
      <xdr:rowOff>74083</xdr:rowOff>
    </xdr:from>
    <xdr:to>
      <xdr:col>16</xdr:col>
      <xdr:colOff>545089</xdr:colOff>
      <xdr:row>12</xdr:row>
      <xdr:rowOff>47735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4DD55E35-D5E7-40EE-9480-4C4CA37D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2833" y="857250"/>
          <a:ext cx="6908848" cy="12679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145677</xdr:colOff>
      <xdr:row>9</xdr:row>
      <xdr:rowOff>11206</xdr:rowOff>
    </xdr:from>
    <xdr:to>
      <xdr:col>12</xdr:col>
      <xdr:colOff>421715</xdr:colOff>
      <xdr:row>14</xdr:row>
      <xdr:rowOff>144595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DD4A3EF-E5D9-4467-8BD6-1639B73B0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5618" y="1355912"/>
          <a:ext cx="4607739" cy="91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7E16-011D-46B3-ABD9-AAB767816948}">
  <sheetPr>
    <pageSetUpPr fitToPage="1"/>
  </sheetPr>
  <dimension ref="A1:N64"/>
  <sheetViews>
    <sheetView showGridLines="0" view="pageBreakPreview" zoomScaleNormal="100" zoomScaleSheetLayoutView="100" workbookViewId="0"/>
  </sheetViews>
  <sheetFormatPr defaultColWidth="11.42578125" defaultRowHeight="12.75"/>
  <cols>
    <col min="1" max="1" width="44.5703125" style="521" customWidth="1"/>
    <col min="2" max="2" width="83.5703125" style="521" customWidth="1"/>
    <col min="3" max="3" width="15.42578125" style="521" bestFit="1" customWidth="1"/>
    <col min="4" max="16384" width="11.42578125" style="521"/>
  </cols>
  <sheetData>
    <row r="1" spans="1:14" s="519" customFormat="1" ht="32.25" customHeight="1">
      <c r="A1" s="516" t="s">
        <v>0</v>
      </c>
      <c r="B1" s="517"/>
      <c r="C1" s="518">
        <v>46022</v>
      </c>
      <c r="D1" s="241"/>
      <c r="N1" s="520"/>
    </row>
    <row r="2" spans="1:14" s="519" customFormat="1" ht="15.75" customHeight="1">
      <c r="A2" s="511" t="s">
        <v>1</v>
      </c>
      <c r="B2" s="511" t="s">
        <v>2</v>
      </c>
      <c r="C2" s="39"/>
      <c r="D2" s="39"/>
      <c r="E2" s="682"/>
      <c r="F2" s="682"/>
      <c r="G2" s="682"/>
      <c r="H2" s="682"/>
      <c r="I2" s="682"/>
      <c r="J2" s="682"/>
      <c r="K2" s="682"/>
      <c r="L2" s="682"/>
      <c r="M2" s="682"/>
      <c r="N2" s="682"/>
    </row>
    <row r="3" spans="1:14" s="519" customFormat="1" ht="15.75" customHeight="1">
      <c r="A3" s="511"/>
      <c r="B3" s="511"/>
      <c r="C3" s="39"/>
      <c r="D3" s="39"/>
      <c r="E3" s="682"/>
      <c r="F3" s="682"/>
      <c r="G3" s="682"/>
      <c r="H3" s="682"/>
      <c r="I3" s="682"/>
      <c r="J3" s="682"/>
      <c r="K3" s="682"/>
      <c r="L3" s="682"/>
      <c r="M3" s="682"/>
      <c r="N3" s="682"/>
    </row>
    <row r="4" spans="1:14">
      <c r="A4" s="511"/>
      <c r="B4" s="511"/>
      <c r="C4" s="511"/>
      <c r="D4" s="511"/>
    </row>
    <row r="5" spans="1:14">
      <c r="A5" s="522" t="s">
        <v>3</v>
      </c>
      <c r="B5" s="511"/>
      <c r="C5" s="511"/>
      <c r="D5" s="511"/>
    </row>
    <row r="6" spans="1:14">
      <c r="A6" s="522"/>
      <c r="B6" s="511"/>
      <c r="C6" s="511"/>
      <c r="D6" s="511"/>
    </row>
    <row r="7" spans="1:14">
      <c r="A7" s="511"/>
      <c r="B7" s="40"/>
      <c r="C7" s="511"/>
      <c r="D7" s="511"/>
    </row>
    <row r="8" spans="1:14">
      <c r="A8" s="241" t="s">
        <v>4</v>
      </c>
      <c r="B8" s="523"/>
      <c r="C8" s="511"/>
      <c r="D8" s="511"/>
    </row>
    <row r="9" spans="1:14">
      <c r="A9" s="511"/>
      <c r="B9" s="511"/>
      <c r="C9" s="511"/>
      <c r="D9" s="511"/>
    </row>
    <row r="10" spans="1:14">
      <c r="A10" s="511" t="s">
        <v>5</v>
      </c>
      <c r="B10" s="524" t="s">
        <v>6</v>
      </c>
      <c r="C10" s="511"/>
      <c r="D10" s="511"/>
    </row>
    <row r="11" spans="1:14">
      <c r="A11" s="511"/>
      <c r="B11" s="511"/>
      <c r="C11" s="511"/>
      <c r="D11" s="511"/>
    </row>
    <row r="12" spans="1:14">
      <c r="A12" s="511" t="s">
        <v>7</v>
      </c>
      <c r="B12" s="525">
        <v>44825</v>
      </c>
      <c r="C12" s="511"/>
      <c r="D12" s="511"/>
    </row>
    <row r="13" spans="1:14">
      <c r="A13" s="511"/>
      <c r="B13" s="511"/>
      <c r="C13" s="511"/>
      <c r="D13" s="511"/>
    </row>
    <row r="14" spans="1:14">
      <c r="A14" s="511" t="s">
        <v>8</v>
      </c>
      <c r="B14" s="526">
        <v>44926</v>
      </c>
      <c r="C14" s="511"/>
      <c r="D14" s="511"/>
    </row>
    <row r="15" spans="1:14">
      <c r="A15" s="511"/>
      <c r="B15" s="511"/>
      <c r="C15" s="511"/>
      <c r="D15" s="511"/>
    </row>
    <row r="16" spans="1:14">
      <c r="A16" s="511" t="s">
        <v>9</v>
      </c>
      <c r="B16" s="511"/>
      <c r="C16" s="511"/>
      <c r="D16" s="511"/>
    </row>
    <row r="17" spans="1:4">
      <c r="A17" s="260" t="s">
        <v>10</v>
      </c>
      <c r="B17" s="527"/>
      <c r="C17" s="511"/>
      <c r="D17" s="511"/>
    </row>
    <row r="18" spans="1:4">
      <c r="A18" s="528" t="s">
        <v>11</v>
      </c>
      <c r="B18" s="529"/>
      <c r="C18" s="511"/>
      <c r="D18" s="511"/>
    </row>
    <row r="19" spans="1:4">
      <c r="A19" s="511" t="s">
        <v>12</v>
      </c>
      <c r="B19" s="511"/>
      <c r="C19" s="511"/>
      <c r="D19" s="511"/>
    </row>
    <row r="20" spans="1:4">
      <c r="A20" s="260" t="s">
        <v>10</v>
      </c>
      <c r="B20" s="527"/>
      <c r="C20" s="511"/>
      <c r="D20" s="511"/>
    </row>
    <row r="21" spans="1:4">
      <c r="A21" s="528" t="s">
        <v>11</v>
      </c>
      <c r="B21" s="529"/>
      <c r="C21" s="511"/>
      <c r="D21" s="511"/>
    </row>
    <row r="22" spans="1:4">
      <c r="A22" s="511"/>
      <c r="B22" s="511"/>
      <c r="C22" s="511"/>
      <c r="D22" s="511"/>
    </row>
    <row r="23" spans="1:4" ht="16.5" customHeight="1">
      <c r="A23" s="241" t="s">
        <v>13</v>
      </c>
      <c r="B23" s="530" t="s">
        <v>14</v>
      </c>
      <c r="C23" s="511"/>
      <c r="D23" s="511"/>
    </row>
    <row r="24" spans="1:4">
      <c r="A24" s="241"/>
      <c r="B24" s="241"/>
      <c r="C24" s="511"/>
      <c r="D24" s="511"/>
    </row>
    <row r="25" spans="1:4">
      <c r="A25" s="531" t="s">
        <v>15</v>
      </c>
      <c r="B25" s="532" t="s">
        <v>16</v>
      </c>
      <c r="C25" s="511"/>
      <c r="D25" s="511"/>
    </row>
    <row r="26" spans="1:4">
      <c r="A26" s="531"/>
      <c r="B26" s="531"/>
      <c r="C26" s="511"/>
      <c r="D26" s="511"/>
    </row>
    <row r="27" spans="1:4" s="519" customFormat="1">
      <c r="A27" s="531" t="s">
        <v>17</v>
      </c>
      <c r="B27" s="533" t="s">
        <v>18</v>
      </c>
      <c r="C27" s="241"/>
      <c r="D27" s="241"/>
    </row>
    <row r="28" spans="1:4">
      <c r="A28" s="511"/>
      <c r="B28" s="511"/>
      <c r="C28" s="511"/>
      <c r="D28" s="511"/>
    </row>
    <row r="29" spans="1:4">
      <c r="D29" s="511"/>
    </row>
    <row r="30" spans="1:4">
      <c r="A30" s="511" t="s">
        <v>19</v>
      </c>
      <c r="B30" s="524" t="s">
        <v>20</v>
      </c>
      <c r="C30" s="511"/>
      <c r="D30" s="511"/>
    </row>
    <row r="31" spans="1:4">
      <c r="A31" s="511"/>
      <c r="B31" s="511"/>
      <c r="C31" s="511"/>
      <c r="D31" s="511"/>
    </row>
    <row r="32" spans="1:4">
      <c r="A32" s="511" t="s">
        <v>21</v>
      </c>
      <c r="B32" s="511" t="s">
        <v>22</v>
      </c>
      <c r="C32" s="511"/>
      <c r="D32" s="511"/>
    </row>
    <row r="33" spans="1:3">
      <c r="A33" s="511"/>
      <c r="B33" s="511"/>
    </row>
    <row r="34" spans="1:3">
      <c r="A34" s="534" t="s">
        <v>23</v>
      </c>
      <c r="B34" s="147"/>
    </row>
    <row r="35" spans="1:3">
      <c r="B35" s="511"/>
    </row>
    <row r="36" spans="1:3">
      <c r="A36" s="511"/>
      <c r="B36" s="511"/>
      <c r="C36" s="511"/>
    </row>
    <row r="37" spans="1:3">
      <c r="A37" s="535" t="s">
        <v>24</v>
      </c>
      <c r="B37" s="535" t="s">
        <v>25</v>
      </c>
      <c r="C37" s="511"/>
    </row>
    <row r="38" spans="1:3">
      <c r="A38" s="511" t="s">
        <v>26</v>
      </c>
      <c r="B38" s="536" t="str">
        <f>Inventaire!F13</f>
        <v/>
      </c>
      <c r="C38" s="511"/>
    </row>
    <row r="39" spans="1:3">
      <c r="A39" s="511" t="s">
        <v>27</v>
      </c>
      <c r="B39" s="536" t="str">
        <f>'Calcul VL'!F6</f>
        <v>OK</v>
      </c>
      <c r="C39" s="511"/>
    </row>
    <row r="40" spans="1:3">
      <c r="A40" s="511" t="s">
        <v>28</v>
      </c>
      <c r="B40" s="521" t="str">
        <f>IF(AND('O.D Rééval'!G43="OK",'O.D Rééval'!G86="OK",'O.D Rééval'!G127="OK"),"OK","Anomalies")</f>
        <v>OK</v>
      </c>
    </row>
    <row r="41" spans="1:3">
      <c r="A41" s="511" t="s">
        <v>29</v>
      </c>
      <c r="B41" s="521" t="str">
        <f>'Intérêts OC'!L22</f>
        <v>OK</v>
      </c>
    </row>
    <row r="42" spans="1:3">
      <c r="A42" s="511" t="s">
        <v>30</v>
      </c>
      <c r="B42" s="521" t="str">
        <f>'Rappro Titres &amp; Parts'!C20</f>
        <v>OK</v>
      </c>
    </row>
    <row r="43" spans="1:3">
      <c r="A43" s="511"/>
      <c r="B43" s="521" t="str">
        <f>'Rappro Titres &amp; Parts'!F18</f>
        <v>OK</v>
      </c>
    </row>
    <row r="44" spans="1:3">
      <c r="A44" s="511"/>
      <c r="B44" s="521" t="str">
        <f>'Rappro Titres &amp; Parts'!I18</f>
        <v>OK</v>
      </c>
    </row>
    <row r="45" spans="1:3">
      <c r="A45" s="511" t="s">
        <v>31</v>
      </c>
      <c r="B45" s="521" t="str">
        <f>PVMV!O29</f>
        <v>OK</v>
      </c>
    </row>
    <row r="46" spans="1:3">
      <c r="A46" s="511" t="s">
        <v>32</v>
      </c>
      <c r="B46" s="536" t="str">
        <f>'Liste porteurs selon versement '!D32</f>
        <v>OK</v>
      </c>
    </row>
    <row r="47" spans="1:3">
      <c r="A47" s="511"/>
      <c r="B47" s="536" t="str">
        <f>'Liste porteurs selon versement '!D32</f>
        <v>OK</v>
      </c>
    </row>
    <row r="48" spans="1:3">
      <c r="A48" s="511" t="s">
        <v>13</v>
      </c>
      <c r="B48" s="521" t="str">
        <f>'Frais de gestion'!H112</f>
        <v>OK</v>
      </c>
    </row>
    <row r="49" spans="1:2">
      <c r="A49" s="511" t="s">
        <v>33</v>
      </c>
      <c r="B49" s="610" t="str">
        <f>Bilan!I100</f>
        <v>OK</v>
      </c>
    </row>
    <row r="50" spans="1:2">
      <c r="A50" s="509" t="s">
        <v>34</v>
      </c>
      <c r="B50" s="610" t="str">
        <f>Bilan!J100</f>
        <v>OK</v>
      </c>
    </row>
    <row r="51" spans="1:2">
      <c r="A51" s="511" t="s">
        <v>35</v>
      </c>
      <c r="B51" s="521" t="str">
        <f>Résultat!H193</f>
        <v>OK</v>
      </c>
    </row>
    <row r="52" spans="1:2">
      <c r="A52" s="509" t="s">
        <v>34</v>
      </c>
      <c r="B52" s="521" t="str">
        <f>Résultat!I193</f>
        <v>OK</v>
      </c>
    </row>
    <row r="53" spans="1:2">
      <c r="A53" s="511" t="s">
        <v>36</v>
      </c>
      <c r="B53" s="521" t="str">
        <f>IF(B38="",'Capitaux propres'!D36,"")</f>
        <v>OK</v>
      </c>
    </row>
    <row r="54" spans="1:2">
      <c r="A54" s="511" t="s">
        <v>37</v>
      </c>
      <c r="B54" s="521" t="str">
        <f>IF(B38="","",'Capitaux propres'!D39)</f>
        <v/>
      </c>
    </row>
    <row r="55" spans="1:2">
      <c r="A55" s="509" t="s">
        <v>34</v>
      </c>
      <c r="B55" s="521" t="str">
        <f>'Capitaux propres'!E36</f>
        <v>OK</v>
      </c>
    </row>
    <row r="56" spans="1:2">
      <c r="A56" s="511" t="s">
        <v>38</v>
      </c>
      <c r="B56" s="521" t="str">
        <f>'Rappro Banque'!C13</f>
        <v>OK</v>
      </c>
    </row>
    <row r="57" spans="1:2">
      <c r="A57" s="511" t="s">
        <v>39</v>
      </c>
      <c r="B57" s="521" t="str">
        <f>'Rappro Balance'!E33</f>
        <v>OK</v>
      </c>
    </row>
    <row r="58" spans="1:2">
      <c r="B58" s="521" t="str">
        <f>'Rappro Balance'!G33</f>
        <v>OK</v>
      </c>
    </row>
    <row r="59" spans="1:2">
      <c r="A59" s="537" t="s">
        <v>40</v>
      </c>
      <c r="B59" s="521" t="str">
        <f>IF(B38="",'Rappro Balance'!H16,"")</f>
        <v>OK</v>
      </c>
    </row>
    <row r="60" spans="1:2">
      <c r="A60" s="537" t="s">
        <v>41</v>
      </c>
      <c r="B60" s="538" t="str">
        <f>IF(B38="",'Rappro Balance'!H30,"")</f>
        <v>OK</v>
      </c>
    </row>
    <row r="61" spans="1:2">
      <c r="A61" s="537" t="s">
        <v>42</v>
      </c>
      <c r="B61" s="521" t="str">
        <f>IF(B29="","",'Rappro Balance'!K22)</f>
        <v/>
      </c>
    </row>
    <row r="63" spans="1:2">
      <c r="A63" s="644" t="s">
        <v>43</v>
      </c>
      <c r="B63" s="645"/>
    </row>
    <row r="64" spans="1:2">
      <c r="A64" s="646" t="s">
        <v>44</v>
      </c>
      <c r="B64" s="521" t="str">
        <f>IF(Inventaire!F62="OK","VRAI","FAUX")</f>
        <v>VRAI</v>
      </c>
    </row>
  </sheetData>
  <phoneticPr fontId="130" type="noConversion"/>
  <dataValidations count="1">
    <dataValidation type="list" allowBlank="1" showInputMessage="1" showErrorMessage="1" sqref="B2:B3" xr:uid="{D305A900-D9AD-4E03-9585-6ECAEED18703}">
      <formula1>"Coupon encaissé , Coupon couru"</formula1>
    </dataValidation>
  </dataValidations>
  <pageMargins left="0.78740157480314965" right="0.78740157480314965" top="1.3779527559055118" bottom="0.98425196850393704" header="0.51181102362204722" footer="0.51181102362204722"/>
  <pageSetup paperSize="9" scale="60" orientation="portrait" r:id="rId1"/>
  <headerFooter alignWithMargins="0">
    <oddHeader>&amp;R&amp;8&amp;F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3"/>
  <dimension ref="A1:X62"/>
  <sheetViews>
    <sheetView view="pageBreakPreview" topLeftCell="A2" zoomScaleNormal="100" zoomScaleSheetLayoutView="100" workbookViewId="0">
      <selection activeCell="C16" sqref="C16"/>
    </sheetView>
  </sheetViews>
  <sheetFormatPr defaultColWidth="11.42578125" defaultRowHeight="12.75"/>
  <cols>
    <col min="1" max="1" width="3.140625" style="399" customWidth="1"/>
    <col min="2" max="2" width="16.42578125" style="370" customWidth="1"/>
    <col min="3" max="3" width="28.140625" style="370" customWidth="1"/>
    <col min="4" max="4" width="17" style="370" customWidth="1"/>
    <col min="5" max="5" width="15.5703125" style="370" bestFit="1" customWidth="1"/>
    <col min="6" max="6" width="14.85546875" style="370" customWidth="1"/>
    <col min="7" max="7" width="16.85546875" style="370" bestFit="1" customWidth="1"/>
    <col min="8" max="8" width="17.140625" style="370" bestFit="1" customWidth="1"/>
    <col min="9" max="9" width="15.85546875" style="370" customWidth="1"/>
    <col min="10" max="10" width="16.85546875" style="370" customWidth="1"/>
    <col min="11" max="11" width="18.42578125" style="370" customWidth="1"/>
    <col min="12" max="12" width="17" style="370" customWidth="1"/>
    <col min="13" max="13" width="13.42578125" style="370" customWidth="1"/>
    <col min="14" max="14" width="18.140625" style="370" customWidth="1"/>
    <col min="15" max="15" width="11" style="108" bestFit="1" customWidth="1"/>
    <col min="16" max="16" width="1" style="370" customWidth="1"/>
    <col min="17" max="17" width="14.5703125" style="370" bestFit="1" customWidth="1"/>
    <col min="18" max="18" width="12.42578125" style="370" bestFit="1" customWidth="1"/>
    <col min="19" max="19" width="11.28515625" style="370" customWidth="1"/>
    <col min="20" max="20" width="13" style="370" bestFit="1" customWidth="1"/>
    <col min="21" max="21" width="14.5703125" style="370" bestFit="1" customWidth="1"/>
    <col min="22" max="22" width="15" style="370" bestFit="1" customWidth="1"/>
    <col min="23" max="23" width="15.5703125" style="370" customWidth="1"/>
    <col min="24" max="24" width="15.85546875" style="370" bestFit="1" customWidth="1"/>
    <col min="25" max="16384" width="11.42578125" style="370"/>
  </cols>
  <sheetData>
    <row r="1" spans="1:24" s="104" customFormat="1" ht="23.25" customHeight="1">
      <c r="A1" s="41"/>
      <c r="B1" s="85" t="str">
        <f>Sommaire!A1</f>
        <v>SANCY - SLP</v>
      </c>
      <c r="C1" s="85"/>
      <c r="D1" s="148"/>
      <c r="E1" s="148"/>
      <c r="F1" s="148"/>
      <c r="G1" s="149" t="s">
        <v>45</v>
      </c>
      <c r="H1" s="776">
        <f>Sommaire!C1</f>
        <v>46022</v>
      </c>
      <c r="I1" s="94"/>
      <c r="J1" s="94"/>
      <c r="K1" s="148"/>
      <c r="L1" s="148"/>
      <c r="M1" s="148"/>
      <c r="N1" s="148"/>
      <c r="O1" s="150"/>
      <c r="P1" s="148"/>
      <c r="Q1" s="148"/>
      <c r="R1" s="148"/>
      <c r="S1" s="148"/>
      <c r="T1" s="148"/>
      <c r="U1" s="148"/>
      <c r="V1" s="148"/>
      <c r="W1" s="148"/>
      <c r="X1" s="148"/>
    </row>
    <row r="2" spans="1:24" s="105" customFormat="1" ht="15">
      <c r="A2" s="41"/>
      <c r="B2" s="42" t="s">
        <v>46</v>
      </c>
      <c r="C2" s="133" t="s">
        <v>47</v>
      </c>
      <c r="D2" s="151"/>
      <c r="E2" s="152"/>
      <c r="F2" s="151"/>
      <c r="G2" s="153"/>
      <c r="H2" s="151"/>
      <c r="I2" s="151"/>
      <c r="J2" s="151"/>
      <c r="K2" s="151"/>
      <c r="L2" s="151"/>
      <c r="M2" s="151"/>
      <c r="N2" s="151"/>
      <c r="O2" s="152"/>
      <c r="P2" s="151"/>
      <c r="Q2" s="151"/>
      <c r="R2" s="151"/>
      <c r="S2" s="151"/>
      <c r="T2" s="151"/>
      <c r="U2" s="151"/>
      <c r="V2" s="151"/>
      <c r="W2" s="151"/>
      <c r="X2" s="151"/>
    </row>
    <row r="3" spans="1:24" s="105" customFormat="1" ht="15">
      <c r="A3" s="41"/>
      <c r="B3" s="42"/>
      <c r="C3" s="133" t="s">
        <v>48</v>
      </c>
      <c r="D3" s="151"/>
      <c r="E3" s="152"/>
      <c r="F3" s="151"/>
      <c r="G3" s="153"/>
      <c r="H3" s="151"/>
      <c r="I3" s="368"/>
      <c r="J3" s="368"/>
      <c r="K3" s="151"/>
      <c r="L3" s="151"/>
      <c r="M3" s="151"/>
      <c r="N3" s="151"/>
      <c r="O3" s="152"/>
      <c r="P3" s="151"/>
      <c r="Q3" s="151"/>
      <c r="R3" s="151"/>
      <c r="S3" s="151"/>
      <c r="T3" s="151"/>
      <c r="U3" s="151"/>
      <c r="V3" s="151"/>
      <c r="W3" s="151"/>
      <c r="X3" s="151"/>
    </row>
    <row r="4" spans="1:24" s="105" customFormat="1" ht="15">
      <c r="A4" s="41"/>
      <c r="B4" s="42"/>
      <c r="C4" s="368"/>
      <c r="D4" s="151"/>
      <c r="E4" s="152"/>
      <c r="F4" s="151"/>
      <c r="G4" s="153"/>
      <c r="H4" s="151"/>
      <c r="I4" s="368"/>
      <c r="J4" s="368"/>
      <c r="K4" s="151"/>
      <c r="L4" s="151"/>
      <c r="M4" s="151"/>
      <c r="N4" s="151"/>
      <c r="O4" s="152"/>
      <c r="P4" s="151"/>
      <c r="Q4" s="151"/>
      <c r="R4" s="151"/>
      <c r="S4" s="151"/>
      <c r="T4" s="151"/>
      <c r="U4" s="151"/>
      <c r="V4" s="151"/>
      <c r="W4" s="151"/>
      <c r="X4" s="151"/>
    </row>
    <row r="5" spans="1:24" s="105" customFormat="1" ht="5.0999999999999996" customHeight="1">
      <c r="A5" s="41"/>
      <c r="B5" s="42"/>
      <c r="C5" s="151"/>
      <c r="D5" s="151"/>
      <c r="E5" s="152"/>
      <c r="F5" s="151"/>
      <c r="G5" s="153"/>
      <c r="H5" s="151"/>
      <c r="I5" s="368"/>
      <c r="J5" s="368"/>
      <c r="K5" s="151"/>
      <c r="L5" s="151"/>
      <c r="M5" s="151"/>
      <c r="N5" s="151"/>
      <c r="O5" s="152"/>
      <c r="P5" s="151"/>
      <c r="Q5" s="151"/>
      <c r="R5" s="151"/>
      <c r="S5" s="151"/>
      <c r="T5" s="151"/>
      <c r="U5" s="151"/>
      <c r="V5" s="151"/>
      <c r="W5" s="151"/>
      <c r="X5" s="151"/>
    </row>
    <row r="6" spans="1:24" ht="5.0999999999999996" customHeight="1">
      <c r="A6" s="369"/>
      <c r="B6" s="918"/>
      <c r="C6" s="126"/>
      <c r="D6" s="126"/>
      <c r="E6" s="919"/>
      <c r="F6" s="9"/>
      <c r="G6" s="126"/>
      <c r="H6" s="151"/>
      <c r="I6" s="368"/>
      <c r="J6" s="368"/>
      <c r="K6" s="126"/>
      <c r="L6" s="126"/>
      <c r="M6" s="126"/>
      <c r="N6" s="126"/>
      <c r="O6" s="129"/>
      <c r="P6" s="126"/>
      <c r="Q6" s="126"/>
      <c r="R6" s="126"/>
      <c r="S6" s="126"/>
      <c r="T6" s="126"/>
      <c r="U6" s="126"/>
      <c r="V6" s="126"/>
      <c r="W6" s="126"/>
      <c r="X6" s="126"/>
    </row>
    <row r="7" spans="1:24" s="106" customFormat="1" ht="25.5">
      <c r="A7" s="20"/>
      <c r="B7" s="408" t="s">
        <v>49</v>
      </c>
      <c r="C7" s="318">
        <f>D44</f>
        <v>11465750.199999999</v>
      </c>
      <c r="D7" s="1026" t="s">
        <v>50</v>
      </c>
      <c r="E7" s="1027" t="s">
        <v>51</v>
      </c>
      <c r="F7" s="1027" t="s">
        <v>52</v>
      </c>
      <c r="G7" s="1027" t="s">
        <v>53</v>
      </c>
      <c r="H7" s="151"/>
      <c r="I7" s="368"/>
      <c r="J7" s="831"/>
      <c r="K7" s="126"/>
      <c r="L7" s="9"/>
      <c r="M7" s="9"/>
      <c r="N7" s="9"/>
      <c r="O7" s="154"/>
      <c r="P7" s="9"/>
      <c r="Q7" s="9"/>
      <c r="R7" s="9"/>
      <c r="S7" s="9"/>
      <c r="T7" s="9"/>
      <c r="U7" s="9"/>
      <c r="V7" s="9"/>
      <c r="W7" s="9"/>
      <c r="X7" s="9"/>
    </row>
    <row r="8" spans="1:24" ht="15">
      <c r="A8" s="369"/>
      <c r="B8" s="409"/>
      <c r="C8" s="128"/>
      <c r="D8" s="620" t="s">
        <v>54</v>
      </c>
      <c r="E8" s="1028">
        <f>SUM(F8:I8)</f>
        <v>15380.56</v>
      </c>
      <c r="F8" s="1029">
        <f>+'Calcul VL'!C9</f>
        <v>15379.56</v>
      </c>
      <c r="G8" s="1029">
        <f>+'Calcul VL'!C10</f>
        <v>1</v>
      </c>
      <c r="H8" s="151"/>
      <c r="I8" s="832"/>
      <c r="J8" s="833"/>
      <c r="K8" s="834"/>
      <c r="L8" s="126"/>
      <c r="M8" s="126"/>
      <c r="N8" s="126"/>
      <c r="O8" s="129"/>
      <c r="P8" s="126"/>
      <c r="Q8" s="126"/>
      <c r="R8" s="126"/>
      <c r="S8" s="126"/>
      <c r="T8" s="126"/>
      <c r="U8" s="126"/>
      <c r="V8" s="126"/>
      <c r="W8" s="126"/>
      <c r="X8" s="126"/>
    </row>
    <row r="9" spans="1:24" ht="15">
      <c r="A9" s="369"/>
      <c r="B9" s="920"/>
      <c r="C9" s="921"/>
      <c r="D9" s="922" t="s">
        <v>55</v>
      </c>
      <c r="E9" s="923"/>
      <c r="F9" s="924">
        <f>'Calcul VL'!E9</f>
        <v>745.47026800000003</v>
      </c>
      <c r="G9" s="924">
        <f>'Calcul VL'!E10</f>
        <v>745.47026800000003</v>
      </c>
      <c r="H9" s="151"/>
      <c r="I9" s="368"/>
      <c r="J9" s="368"/>
      <c r="K9" s="126"/>
      <c r="L9" s="126"/>
      <c r="M9" s="126"/>
      <c r="N9" s="126"/>
      <c r="O9" s="129"/>
      <c r="P9" s="126"/>
      <c r="Q9" s="126"/>
      <c r="R9" s="126"/>
      <c r="S9" s="126"/>
      <c r="T9" s="126"/>
      <c r="U9" s="126"/>
      <c r="V9" s="126"/>
      <c r="W9" s="126"/>
      <c r="X9" s="126"/>
    </row>
    <row r="10" spans="1:24" ht="15">
      <c r="A10" s="369"/>
      <c r="B10" s="126"/>
      <c r="C10" s="224"/>
      <c r="D10" s="129"/>
      <c r="E10" s="371"/>
      <c r="F10" s="372"/>
      <c r="G10" s="372"/>
      <c r="H10" s="151"/>
      <c r="I10" s="368"/>
      <c r="J10" s="368"/>
      <c r="K10" s="126"/>
      <c r="L10" s="126"/>
      <c r="M10" s="126"/>
      <c r="N10" s="126"/>
      <c r="O10" s="129"/>
      <c r="P10" s="126"/>
      <c r="Q10" s="126"/>
      <c r="R10" s="126"/>
      <c r="S10" s="126"/>
      <c r="T10" s="126"/>
      <c r="U10" s="126"/>
      <c r="V10" s="126"/>
      <c r="W10" s="126"/>
      <c r="X10" s="126"/>
    </row>
    <row r="11" spans="1:24">
      <c r="A11" s="369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9"/>
      <c r="P11" s="126"/>
      <c r="Q11" s="369"/>
      <c r="R11" s="369"/>
      <c r="S11" s="369"/>
      <c r="T11" s="42"/>
      <c r="U11" s="42"/>
      <c r="V11" s="42"/>
      <c r="W11" s="126"/>
      <c r="X11" s="126"/>
    </row>
    <row r="12" spans="1:24" s="107" customFormat="1" ht="38.25">
      <c r="A12" s="36" t="s">
        <v>56</v>
      </c>
      <c r="B12" s="1030" t="s">
        <v>57</v>
      </c>
      <c r="C12" s="1030" t="s">
        <v>58</v>
      </c>
      <c r="D12" s="1030" t="s">
        <v>59</v>
      </c>
      <c r="E12" s="1030" t="s">
        <v>60</v>
      </c>
      <c r="F12" s="1030" t="s">
        <v>61</v>
      </c>
      <c r="G12" s="1030" t="s">
        <v>62</v>
      </c>
      <c r="H12" s="1030" t="s">
        <v>63</v>
      </c>
      <c r="I12" s="1031" t="s">
        <v>64</v>
      </c>
      <c r="J12" s="1031" t="s">
        <v>65</v>
      </c>
      <c r="K12" s="1030" t="s">
        <v>66</v>
      </c>
      <c r="L12" s="1032" t="s">
        <v>67</v>
      </c>
      <c r="M12" s="1030" t="s">
        <v>68</v>
      </c>
      <c r="N12" s="1030" t="s">
        <v>69</v>
      </c>
      <c r="O12" s="1030" t="s">
        <v>70</v>
      </c>
      <c r="P12" s="127"/>
      <c r="Q12" s="36" t="s">
        <v>71</v>
      </c>
      <c r="R12" s="36" t="s">
        <v>72</v>
      </c>
      <c r="S12" s="36" t="s">
        <v>73</v>
      </c>
      <c r="T12" s="36"/>
      <c r="U12" s="36"/>
      <c r="V12" s="36"/>
      <c r="W12" s="36"/>
      <c r="X12" s="127"/>
    </row>
    <row r="13" spans="1:24" s="107" customFormat="1" ht="24.75" customHeight="1">
      <c r="A13" s="36"/>
      <c r="B13" s="827" t="s">
        <v>74</v>
      </c>
      <c r="C13" s="828"/>
      <c r="D13" s="373"/>
      <c r="E13" s="172"/>
      <c r="F13" s="829" t="str">
        <f>IF(ABS('Rappro Balance'!$G$22)&gt;0.009,"ANOMALIE DE VALORISATION","")</f>
        <v/>
      </c>
      <c r="G13" s="830"/>
      <c r="H13" s="173"/>
      <c r="I13" s="173"/>
      <c r="J13" s="173"/>
      <c r="K13" s="173"/>
      <c r="L13" s="174"/>
      <c r="M13" s="173"/>
      <c r="N13" s="173"/>
      <c r="O13" s="1030"/>
      <c r="P13" s="127"/>
      <c r="Q13" s="36"/>
      <c r="R13" s="36"/>
      <c r="S13" s="369"/>
      <c r="T13" s="36"/>
      <c r="U13" s="36"/>
      <c r="V13" s="36"/>
      <c r="W13" s="127"/>
      <c r="X13" s="127"/>
    </row>
    <row r="14" spans="1:24" s="107" customFormat="1">
      <c r="A14" s="36"/>
      <c r="B14" s="925" t="s">
        <v>75</v>
      </c>
      <c r="C14" s="926"/>
      <c r="D14" s="374"/>
      <c r="E14" s="155"/>
      <c r="F14" s="156"/>
      <c r="G14" s="184"/>
      <c r="H14" s="157"/>
      <c r="I14" s="183"/>
      <c r="J14" s="183"/>
      <c r="K14" s="169"/>
      <c r="L14" s="158"/>
      <c r="M14" s="375"/>
      <c r="N14" s="157"/>
      <c r="O14" s="621"/>
      <c r="P14" s="127"/>
      <c r="Q14" s="36"/>
      <c r="R14" s="36"/>
      <c r="S14" s="369"/>
      <c r="T14" s="36"/>
      <c r="U14" s="36"/>
      <c r="V14" s="36"/>
      <c r="W14" s="127"/>
      <c r="X14" s="127"/>
    </row>
    <row r="15" spans="1:24" s="107" customFormat="1" ht="13.5" customHeight="1">
      <c r="A15" s="36"/>
      <c r="B15" s="1033"/>
      <c r="C15" s="319"/>
      <c r="D15" s="374"/>
      <c r="E15" s="155"/>
      <c r="F15" s="156"/>
      <c r="G15" s="155"/>
      <c r="H15" s="159"/>
      <c r="I15" s="159"/>
      <c r="J15" s="159"/>
      <c r="K15" s="159"/>
      <c r="L15" s="159"/>
      <c r="M15" s="185"/>
      <c r="N15" s="159"/>
      <c r="O15" s="622"/>
      <c r="P15" s="127"/>
      <c r="Q15" s="160"/>
      <c r="R15" s="160"/>
      <c r="S15" s="369"/>
      <c r="T15" s="369"/>
      <c r="U15" s="369"/>
      <c r="V15" s="369"/>
      <c r="W15" s="369"/>
      <c r="X15" s="376"/>
    </row>
    <row r="16" spans="1:24" s="107" customFormat="1">
      <c r="A16" s="36" t="s">
        <v>76</v>
      </c>
      <c r="B16" s="410" t="s">
        <v>77</v>
      </c>
      <c r="C16" s="198" t="str">
        <f>PVMV!B15</f>
        <v>Heka Invest - Actions</v>
      </c>
      <c r="D16" s="222">
        <f>+PVMV!E15</f>
        <v>14423076</v>
      </c>
      <c r="E16" s="222">
        <f>PVMV!N15</f>
        <v>1.04</v>
      </c>
      <c r="F16" s="180">
        <v>0.78809726266427493</v>
      </c>
      <c r="G16" s="839">
        <f>H1</f>
        <v>46022</v>
      </c>
      <c r="H16" s="132">
        <f>PVMV!M15</f>
        <v>14999999.039999999</v>
      </c>
      <c r="I16" s="132"/>
      <c r="J16" s="132">
        <f>+I16+H16</f>
        <v>14999999.039999999</v>
      </c>
      <c r="K16" s="185">
        <f>D16*F16</f>
        <v>11366786.714798801</v>
      </c>
      <c r="L16" s="159">
        <f>ROUND(K16-J16,2)</f>
        <v>-3633212.33</v>
      </c>
      <c r="M16" s="185"/>
      <c r="N16" s="235">
        <f>ROUND(+M16+K16,2)</f>
        <v>11366786.710000001</v>
      </c>
      <c r="O16" s="623">
        <f>+N16/$D$44*100</f>
        <v>99.13687732356145</v>
      </c>
      <c r="P16" s="127"/>
      <c r="Q16" s="672">
        <v>11366786.714798801</v>
      </c>
      <c r="R16" s="835">
        <f>Q16-N16</f>
        <v>4.7987997531890869E-3</v>
      </c>
      <c r="S16" s="584">
        <f>Q16/D16</f>
        <v>0.78809726266427493</v>
      </c>
      <c r="T16" s="378"/>
      <c r="U16" s="379"/>
      <c r="V16" s="379"/>
      <c r="W16" s="379"/>
      <c r="X16" s="379"/>
    </row>
    <row r="17" spans="1:24" s="107" customFormat="1">
      <c r="A17" s="36"/>
      <c r="B17" s="410"/>
      <c r="C17" s="198"/>
      <c r="D17" s="400"/>
      <c r="E17" s="401"/>
      <c r="F17" s="390"/>
      <c r="G17" s="391"/>
      <c r="H17" s="402"/>
      <c r="I17" s="402"/>
      <c r="J17" s="402"/>
      <c r="K17" s="185"/>
      <c r="L17" s="185"/>
      <c r="M17" s="186"/>
      <c r="N17" s="403"/>
      <c r="O17" s="624"/>
      <c r="P17" s="127"/>
      <c r="Q17" s="375"/>
      <c r="R17" s="404"/>
      <c r="S17" s="369"/>
      <c r="T17" s="405"/>
      <c r="U17" s="406"/>
      <c r="V17" s="406"/>
      <c r="W17" s="406"/>
      <c r="X17" s="406"/>
    </row>
    <row r="18" spans="1:24" s="106" customFormat="1">
      <c r="A18" s="20"/>
      <c r="B18" s="927" t="s">
        <v>51</v>
      </c>
      <c r="C18" s="928"/>
      <c r="D18" s="929"/>
      <c r="E18" s="930"/>
      <c r="F18" s="931"/>
      <c r="G18" s="932"/>
      <c r="H18" s="933">
        <f t="shared" ref="H18:N18" si="0">SUM(H16:H17)</f>
        <v>14999999.039999999</v>
      </c>
      <c r="I18" s="933">
        <f t="shared" ref="I18" si="1">SUM(I16:I17)</f>
        <v>0</v>
      </c>
      <c r="J18" s="933">
        <f t="shared" si="0"/>
        <v>14999999.039999999</v>
      </c>
      <c r="K18" s="933">
        <f t="shared" si="0"/>
        <v>11366786.714798801</v>
      </c>
      <c r="L18" s="933">
        <f t="shared" si="0"/>
        <v>-3633212.33</v>
      </c>
      <c r="M18" s="933">
        <f t="shared" si="0"/>
        <v>0</v>
      </c>
      <c r="N18" s="933">
        <f t="shared" si="0"/>
        <v>11366786.710000001</v>
      </c>
      <c r="O18" s="1034">
        <f>SUM(O15:O17)</f>
        <v>99.13687732356145</v>
      </c>
      <c r="P18" s="9"/>
      <c r="Q18" s="132"/>
      <c r="R18" s="132"/>
      <c r="S18" s="369"/>
      <c r="T18" s="162"/>
      <c r="U18" s="9"/>
      <c r="V18" s="9"/>
      <c r="W18" s="9"/>
      <c r="X18" s="9"/>
    </row>
    <row r="19" spans="1:24" s="106" customFormat="1" ht="12.75" customHeight="1">
      <c r="A19" s="20"/>
      <c r="B19" s="934" t="s">
        <v>78</v>
      </c>
      <c r="C19" s="935"/>
      <c r="D19" s="380"/>
      <c r="E19" s="176"/>
      <c r="F19" s="381"/>
      <c r="G19" s="382"/>
      <c r="H19" s="383"/>
      <c r="I19" s="383"/>
      <c r="J19" s="383"/>
      <c r="K19" s="383"/>
      <c r="L19" s="383"/>
      <c r="M19" s="383"/>
      <c r="N19" s="384"/>
      <c r="O19" s="1035"/>
      <c r="P19" s="9"/>
      <c r="Q19" s="9"/>
      <c r="R19" s="9"/>
      <c r="S19" s="9"/>
      <c r="T19" s="162"/>
      <c r="U19" s="9"/>
      <c r="V19" s="9"/>
      <c r="W19" s="9"/>
      <c r="X19" s="9"/>
    </row>
    <row r="20" spans="1:24" s="106" customFormat="1">
      <c r="A20" s="20"/>
      <c r="B20" s="411"/>
      <c r="C20" s="211"/>
      <c r="D20" s="385"/>
      <c r="E20" s="128"/>
      <c r="F20" s="386"/>
      <c r="G20" s="387"/>
      <c r="H20" s="388"/>
      <c r="I20" s="388"/>
      <c r="J20" s="388"/>
      <c r="K20" s="388"/>
      <c r="L20" s="388"/>
      <c r="M20" s="388"/>
      <c r="N20" s="388"/>
      <c r="O20" s="625"/>
      <c r="P20" s="9"/>
      <c r="Q20" s="9"/>
      <c r="R20" s="9"/>
      <c r="S20" s="9"/>
      <c r="T20" s="162"/>
      <c r="U20" s="9"/>
      <c r="V20" s="9"/>
      <c r="W20" s="9"/>
      <c r="X20" s="9"/>
    </row>
    <row r="21" spans="1:24" s="106" customFormat="1" ht="12.75" hidden="1" customHeight="1">
      <c r="A21" s="42" t="s">
        <v>79</v>
      </c>
      <c r="B21" s="638"/>
      <c r="C21" s="389"/>
      <c r="D21" s="222"/>
      <c r="E21" s="222"/>
      <c r="F21" s="180"/>
      <c r="G21" s="377"/>
      <c r="H21" s="132"/>
      <c r="I21" s="132"/>
      <c r="J21" s="132"/>
      <c r="K21" s="159"/>
      <c r="L21" s="159"/>
      <c r="M21" s="186"/>
      <c r="N21" s="235"/>
      <c r="O21" s="623">
        <f>+N21/$D$44*100</f>
        <v>0</v>
      </c>
      <c r="P21" s="9"/>
      <c r="Q21" s="126"/>
      <c r="R21" s="9"/>
      <c r="S21" s="9"/>
      <c r="T21" s="162"/>
      <c r="U21" s="9"/>
      <c r="V21" s="9"/>
      <c r="W21" s="9"/>
      <c r="X21" s="9"/>
    </row>
    <row r="22" spans="1:24" s="106" customFormat="1" ht="12.75" hidden="1" customHeight="1">
      <c r="A22" s="42" t="s">
        <v>79</v>
      </c>
      <c r="B22" s="638"/>
      <c r="C22" s="389"/>
      <c r="D22" s="222"/>
      <c r="E22" s="222"/>
      <c r="F22" s="180"/>
      <c r="G22" s="377"/>
      <c r="H22" s="132"/>
      <c r="I22" s="132"/>
      <c r="J22" s="132"/>
      <c r="K22" s="159"/>
      <c r="L22" s="159"/>
      <c r="M22" s="186"/>
      <c r="N22" s="235"/>
      <c r="O22" s="623">
        <f>+N22/$D$44*100</f>
        <v>0</v>
      </c>
      <c r="P22" s="9"/>
      <c r="Q22" s="126"/>
      <c r="R22" s="232"/>
      <c r="S22" s="9"/>
      <c r="T22" s="162"/>
      <c r="U22" s="9"/>
      <c r="V22" s="9"/>
      <c r="W22" s="9"/>
      <c r="X22" s="9"/>
    </row>
    <row r="23" spans="1:24" s="106" customFormat="1">
      <c r="A23" s="42"/>
      <c r="B23" s="639"/>
      <c r="C23" s="389"/>
      <c r="D23" s="170"/>
      <c r="E23" s="222"/>
      <c r="F23" s="390"/>
      <c r="G23" s="391"/>
      <c r="H23" s="132"/>
      <c r="I23" s="132"/>
      <c r="J23" s="388"/>
      <c r="K23" s="388"/>
      <c r="L23" s="388"/>
      <c r="M23" s="388"/>
      <c r="N23" s="388"/>
      <c r="O23" s="625"/>
      <c r="P23" s="9"/>
      <c r="Q23" s="9"/>
      <c r="R23" s="9"/>
      <c r="S23" s="9"/>
      <c r="T23" s="162"/>
      <c r="U23" s="9"/>
      <c r="V23" s="9"/>
      <c r="W23" s="9"/>
      <c r="X23" s="9"/>
    </row>
    <row r="24" spans="1:24" s="106" customFormat="1">
      <c r="A24" s="20"/>
      <c r="B24" s="936"/>
      <c r="C24" s="937" t="s">
        <v>51</v>
      </c>
      <c r="D24" s="929"/>
      <c r="E24" s="930"/>
      <c r="F24" s="938"/>
      <c r="G24" s="932"/>
      <c r="H24" s="933">
        <f>SUM(H21:H22)</f>
        <v>0</v>
      </c>
      <c r="I24" s="933">
        <f>SUM(I21:I22)</f>
        <v>0</v>
      </c>
      <c r="J24" s="933">
        <f>SUM(J21:J22)</f>
        <v>0</v>
      </c>
      <c r="K24" s="933">
        <f>SUM(K21:K22)</f>
        <v>0</v>
      </c>
      <c r="L24" s="933">
        <f>SUM(L21:L22)</f>
        <v>0</v>
      </c>
      <c r="M24" s="933"/>
      <c r="N24" s="933">
        <f>SUM(N21:N22)</f>
        <v>0</v>
      </c>
      <c r="O24" s="1034">
        <f>SUM(O19:O22)</f>
        <v>0</v>
      </c>
      <c r="P24" s="9"/>
      <c r="Q24" s="9"/>
      <c r="R24" s="9"/>
      <c r="S24" s="9"/>
      <c r="T24" s="9"/>
      <c r="U24" s="9"/>
      <c r="V24" s="9"/>
      <c r="W24" s="9"/>
      <c r="X24" s="9"/>
    </row>
    <row r="25" spans="1:24" s="106" customFormat="1">
      <c r="A25" s="20"/>
      <c r="B25" s="408"/>
      <c r="C25" s="9"/>
      <c r="D25" s="385"/>
      <c r="E25" s="128"/>
      <c r="F25" s="159"/>
      <c r="G25" s="387"/>
      <c r="H25" s="388"/>
      <c r="I25" s="388"/>
      <c r="J25" s="388"/>
      <c r="K25" s="388"/>
      <c r="L25" s="388"/>
      <c r="M25" s="388"/>
      <c r="N25" s="388"/>
      <c r="O25" s="1035"/>
      <c r="P25" s="9"/>
      <c r="Q25" s="9"/>
      <c r="R25" s="9"/>
      <c r="S25" s="9"/>
      <c r="T25" s="539"/>
      <c r="U25" s="9"/>
      <c r="V25" s="9"/>
      <c r="W25" s="9"/>
      <c r="X25" s="9"/>
    </row>
    <row r="26" spans="1:24" s="106" customFormat="1">
      <c r="A26" s="20"/>
      <c r="B26" s="408"/>
      <c r="C26" s="9"/>
      <c r="D26" s="385"/>
      <c r="E26" s="128"/>
      <c r="F26" s="159"/>
      <c r="G26" s="387"/>
      <c r="H26" s="388"/>
      <c r="I26" s="388"/>
      <c r="J26" s="388"/>
      <c r="K26" s="388"/>
      <c r="L26" s="388"/>
      <c r="M26" s="388"/>
      <c r="N26" s="388"/>
      <c r="O26" s="939"/>
      <c r="P26" s="9"/>
      <c r="Q26" s="9"/>
      <c r="R26" s="9"/>
      <c r="S26" s="232"/>
      <c r="T26" s="9"/>
      <c r="U26" s="9"/>
      <c r="V26" s="9"/>
      <c r="W26" s="9"/>
      <c r="X26" s="9"/>
    </row>
    <row r="27" spans="1:24" s="106" customFormat="1">
      <c r="A27" s="20"/>
      <c r="B27" s="940"/>
      <c r="C27" s="941" t="s">
        <v>80</v>
      </c>
      <c r="D27" s="942"/>
      <c r="E27" s="943"/>
      <c r="F27" s="944"/>
      <c r="G27" s="945"/>
      <c r="H27" s="946">
        <f t="shared" ref="H27:M27" si="2">+H18+H24</f>
        <v>14999999.039999999</v>
      </c>
      <c r="I27" s="946">
        <f t="shared" ref="I27" si="3">+I18+I24</f>
        <v>0</v>
      </c>
      <c r="J27" s="946">
        <f t="shared" si="2"/>
        <v>14999999.039999999</v>
      </c>
      <c r="K27" s="946">
        <f t="shared" si="2"/>
        <v>11366786.714798801</v>
      </c>
      <c r="L27" s="946">
        <f t="shared" si="2"/>
        <v>-3633212.33</v>
      </c>
      <c r="M27" s="946">
        <f t="shared" si="2"/>
        <v>0</v>
      </c>
      <c r="N27" s="946">
        <f>ROUND(+N18+N24,2)</f>
        <v>11366786.710000001</v>
      </c>
      <c r="O27" s="1036">
        <f>+O18+O24</f>
        <v>99.13687732356145</v>
      </c>
      <c r="P27" s="9"/>
      <c r="Q27" s="9"/>
      <c r="R27" s="9"/>
      <c r="S27" s="9"/>
      <c r="T27" s="9"/>
      <c r="U27" s="9"/>
      <c r="V27" s="9"/>
      <c r="W27" s="9"/>
      <c r="X27" s="9"/>
    </row>
    <row r="28" spans="1:24" s="396" customFormat="1">
      <c r="A28" s="392"/>
      <c r="B28" s="1037"/>
      <c r="C28" s="393"/>
      <c r="D28" s="393"/>
      <c r="E28" s="393"/>
      <c r="F28" s="393"/>
      <c r="G28" s="393"/>
      <c r="H28" s="394"/>
      <c r="I28" s="394"/>
      <c r="J28" s="394"/>
      <c r="K28" s="394"/>
      <c r="L28" s="394"/>
      <c r="M28" s="394"/>
      <c r="N28" s="394"/>
      <c r="O28" s="1038"/>
      <c r="P28" s="395"/>
      <c r="Q28" s="9"/>
      <c r="R28" s="9"/>
      <c r="S28" s="9"/>
      <c r="T28" s="395"/>
      <c r="U28" s="395"/>
      <c r="V28" s="395"/>
      <c r="W28" s="395"/>
      <c r="X28" s="395"/>
    </row>
    <row r="29" spans="1:24" s="106" customFormat="1">
      <c r="A29" s="20"/>
      <c r="B29" s="947"/>
      <c r="C29" s="948"/>
      <c r="D29" s="949"/>
      <c r="E29" s="950"/>
      <c r="F29" s="951"/>
      <c r="G29" s="948"/>
      <c r="H29" s="952"/>
      <c r="I29" s="952"/>
      <c r="J29" s="952"/>
      <c r="K29" s="952"/>
      <c r="L29" s="952"/>
      <c r="M29" s="952"/>
      <c r="N29" s="952"/>
      <c r="O29" s="939"/>
      <c r="P29" s="9"/>
      <c r="Q29" s="9"/>
      <c r="R29" s="9"/>
      <c r="S29" s="9"/>
      <c r="T29" s="9"/>
      <c r="U29" s="9"/>
      <c r="V29" s="9"/>
      <c r="W29" s="9"/>
      <c r="X29" s="9"/>
    </row>
    <row r="30" spans="1:24" s="108" customFormat="1" ht="24" customHeight="1">
      <c r="A30" s="42"/>
      <c r="B30" s="940" t="s">
        <v>81</v>
      </c>
      <c r="C30" s="941"/>
      <c r="D30" s="942"/>
      <c r="E30" s="943"/>
      <c r="F30" s="944"/>
      <c r="G30" s="945"/>
      <c r="H30" s="946">
        <f t="shared" ref="H30:M30" si="4">H27</f>
        <v>14999999.039999999</v>
      </c>
      <c r="I30" s="946">
        <f t="shared" ref="I30" si="5">I27</f>
        <v>0</v>
      </c>
      <c r="J30" s="946">
        <f t="shared" si="4"/>
        <v>14999999.039999999</v>
      </c>
      <c r="K30" s="946">
        <f t="shared" si="4"/>
        <v>11366786.714798801</v>
      </c>
      <c r="L30" s="946">
        <f>L27</f>
        <v>-3633212.33</v>
      </c>
      <c r="M30" s="946">
        <f t="shared" si="4"/>
        <v>0</v>
      </c>
      <c r="N30" s="946">
        <f>N27</f>
        <v>11366786.710000001</v>
      </c>
      <c r="O30" s="1036">
        <f>+O27</f>
        <v>99.13687732356145</v>
      </c>
      <c r="P30" s="129"/>
      <c r="Q30" s="129"/>
      <c r="R30" s="129"/>
      <c r="S30" s="129"/>
      <c r="T30" s="129"/>
      <c r="U30" s="129"/>
      <c r="V30" s="129"/>
      <c r="W30" s="129"/>
      <c r="X30" s="129"/>
    </row>
    <row r="31" spans="1:24" ht="7.5" customHeight="1">
      <c r="A31" s="369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9"/>
      <c r="P31" s="126"/>
      <c r="Q31" s="126"/>
      <c r="R31" s="126"/>
      <c r="S31" s="126"/>
      <c r="T31" s="126"/>
      <c r="U31" s="126"/>
      <c r="V31" s="126"/>
      <c r="W31" s="126"/>
      <c r="X31" s="126"/>
    </row>
    <row r="32" spans="1:24" s="109" customFormat="1" ht="22.5" customHeight="1">
      <c r="A32" s="42"/>
      <c r="B32" s="953" t="s">
        <v>82</v>
      </c>
      <c r="C32" s="954"/>
      <c r="D32" s="955" t="s">
        <v>83</v>
      </c>
      <c r="E32" s="1039" t="s">
        <v>84</v>
      </c>
      <c r="F32" s="129"/>
      <c r="G32" s="126"/>
      <c r="H32" s="126"/>
      <c r="I32" s="126"/>
      <c r="J32" s="126"/>
      <c r="K32" s="126"/>
      <c r="L32" s="169"/>
      <c r="M32" s="126"/>
      <c r="N32" s="169"/>
      <c r="O32" s="129"/>
      <c r="P32" s="19"/>
      <c r="Q32" s="263"/>
      <c r="R32" s="19"/>
      <c r="S32" s="19"/>
      <c r="T32" s="19"/>
      <c r="U32" s="19"/>
      <c r="V32" s="19"/>
      <c r="W32" s="19"/>
      <c r="X32" s="19"/>
    </row>
    <row r="33" spans="1:24" ht="15">
      <c r="A33" s="369"/>
      <c r="B33" s="1040"/>
      <c r="C33" s="397"/>
      <c r="D33" s="1041"/>
      <c r="E33" s="1042"/>
      <c r="F33" s="126"/>
      <c r="G33" s="126"/>
      <c r="H33" s="126"/>
      <c r="I33" s="126"/>
      <c r="J33" s="126"/>
      <c r="K33" s="126"/>
      <c r="L33" s="126"/>
      <c r="M33" s="126"/>
      <c r="N33" s="132"/>
      <c r="O33" s="28"/>
      <c r="P33" s="126"/>
      <c r="Q33" s="126"/>
      <c r="R33" s="126"/>
      <c r="S33" s="126"/>
      <c r="T33" s="126"/>
      <c r="U33" s="126"/>
      <c r="V33" s="126"/>
      <c r="W33" s="126"/>
      <c r="X33" s="126"/>
    </row>
    <row r="34" spans="1:24">
      <c r="A34" s="369"/>
      <c r="B34" s="409" t="s">
        <v>26</v>
      </c>
      <c r="C34" s="398"/>
      <c r="D34" s="412">
        <f>+N30</f>
        <v>11366786.710000001</v>
      </c>
      <c r="E34" s="623">
        <f>+D34/$D$44*100</f>
        <v>99.13687732356145</v>
      </c>
      <c r="F34" s="169"/>
      <c r="G34" s="126"/>
      <c r="H34" s="126"/>
      <c r="I34" s="126"/>
      <c r="J34" s="126"/>
      <c r="K34" s="126"/>
      <c r="L34" s="126"/>
      <c r="M34" s="126"/>
      <c r="N34" s="126"/>
      <c r="O34" s="129"/>
      <c r="P34" s="126"/>
      <c r="Q34" s="126"/>
      <c r="R34" s="126"/>
      <c r="S34" s="126"/>
      <c r="T34" s="126"/>
      <c r="U34" s="126"/>
      <c r="V34" s="126"/>
      <c r="W34" s="126"/>
      <c r="X34" s="126"/>
    </row>
    <row r="35" spans="1:24">
      <c r="A35" s="369"/>
      <c r="B35" s="409"/>
      <c r="C35" s="398"/>
      <c r="D35" s="412"/>
      <c r="E35" s="623"/>
      <c r="F35" s="169"/>
      <c r="G35" s="126"/>
      <c r="H35" s="126"/>
      <c r="I35" s="126"/>
      <c r="J35" s="126"/>
      <c r="K35" s="126"/>
      <c r="L35" s="126"/>
      <c r="M35" s="126"/>
      <c r="N35" s="126"/>
      <c r="O35" s="129"/>
      <c r="P35" s="126"/>
      <c r="Q35" s="126"/>
      <c r="R35" s="126"/>
      <c r="S35" s="126"/>
      <c r="T35" s="126"/>
      <c r="U35" s="126"/>
      <c r="V35" s="126"/>
      <c r="W35" s="126"/>
      <c r="X35" s="126"/>
    </row>
    <row r="36" spans="1:24">
      <c r="A36" s="369"/>
      <c r="B36" s="409" t="s">
        <v>85</v>
      </c>
      <c r="C36" s="398"/>
      <c r="D36" s="412">
        <f>'Rappro Banque'!C17</f>
        <v>109211.49</v>
      </c>
      <c r="E36" s="623">
        <f>+D36/$D$44*100</f>
        <v>0.95250191304534093</v>
      </c>
      <c r="F36" s="169"/>
      <c r="G36" s="126"/>
      <c r="H36" s="126"/>
      <c r="I36" s="126"/>
      <c r="J36" s="126"/>
      <c r="K36" s="126"/>
      <c r="L36" s="126"/>
      <c r="M36" s="126"/>
      <c r="N36" s="126"/>
      <c r="O36" s="129"/>
      <c r="P36" s="126"/>
      <c r="Q36" s="126"/>
      <c r="R36" s="126"/>
      <c r="S36" s="126"/>
      <c r="T36" s="126"/>
      <c r="U36" s="126"/>
      <c r="V36" s="126"/>
      <c r="W36" s="126"/>
      <c r="X36" s="126"/>
    </row>
    <row r="37" spans="1:24">
      <c r="A37" s="369"/>
      <c r="B37" s="409"/>
      <c r="C37" s="398"/>
      <c r="D37" s="412"/>
      <c r="E37" s="623"/>
      <c r="F37" s="169"/>
      <c r="G37" s="126"/>
      <c r="H37" s="126"/>
      <c r="I37" s="126"/>
      <c r="J37" s="126"/>
      <c r="K37" s="126"/>
      <c r="L37" s="126"/>
      <c r="M37" s="126"/>
      <c r="N37" s="126"/>
      <c r="O37" s="129"/>
      <c r="P37" s="126"/>
      <c r="Q37" s="126"/>
      <c r="R37" s="126"/>
      <c r="S37" s="126"/>
      <c r="T37" s="126"/>
      <c r="U37" s="126"/>
      <c r="V37" s="126"/>
      <c r="W37" s="126"/>
      <c r="X37" s="126"/>
    </row>
    <row r="38" spans="1:24">
      <c r="A38" s="369"/>
      <c r="B38" s="409" t="s">
        <v>86</v>
      </c>
      <c r="C38" s="398"/>
      <c r="D38" s="412">
        <f>+'Créances_&amp;_dettes'!G13</f>
        <v>0</v>
      </c>
      <c r="E38" s="623">
        <f>+D38/$D$44*100</f>
        <v>0</v>
      </c>
      <c r="F38" s="169"/>
      <c r="G38" s="126"/>
      <c r="H38" s="126"/>
      <c r="I38" s="126"/>
      <c r="J38" s="126"/>
      <c r="K38" s="126"/>
      <c r="L38" s="126"/>
      <c r="M38" s="126"/>
      <c r="N38" s="126"/>
      <c r="O38" s="129"/>
      <c r="P38" s="126"/>
      <c r="Q38" s="126"/>
      <c r="R38" s="126"/>
      <c r="S38" s="126"/>
      <c r="T38" s="126"/>
      <c r="U38" s="126"/>
      <c r="V38" s="126"/>
      <c r="W38" s="126"/>
      <c r="X38" s="126"/>
    </row>
    <row r="39" spans="1:24">
      <c r="A39" s="369"/>
      <c r="B39" s="409"/>
      <c r="C39" s="398"/>
      <c r="D39" s="132"/>
      <c r="E39" s="623"/>
      <c r="F39" s="169"/>
      <c r="G39" s="126"/>
      <c r="H39" s="126"/>
      <c r="I39" s="126"/>
      <c r="J39" s="126"/>
      <c r="K39" s="126"/>
      <c r="L39" s="126"/>
      <c r="M39" s="126"/>
      <c r="N39" s="126"/>
      <c r="O39" s="129"/>
      <c r="P39" s="126"/>
      <c r="Q39" s="126"/>
      <c r="R39" s="126"/>
      <c r="S39" s="126"/>
      <c r="T39" s="126"/>
      <c r="U39" s="126"/>
      <c r="V39" s="126"/>
      <c r="W39" s="126"/>
      <c r="X39" s="126"/>
    </row>
    <row r="40" spans="1:24">
      <c r="A40" s="369"/>
      <c r="B40" s="409" t="s">
        <v>87</v>
      </c>
      <c r="C40" s="398"/>
      <c r="D40" s="412">
        <f>-+'Créances_&amp;_dettes'!G59</f>
        <v>-10248</v>
      </c>
      <c r="E40" s="623">
        <f>+D40/$D$44*100</f>
        <v>-8.9379236606776949E-2</v>
      </c>
      <c r="F40" s="169"/>
      <c r="G40" s="126"/>
      <c r="H40" s="126"/>
      <c r="I40" s="126"/>
      <c r="J40" s="126"/>
      <c r="K40" s="126"/>
      <c r="L40" s="126"/>
      <c r="M40" s="126"/>
      <c r="N40" s="126"/>
      <c r="O40" s="129"/>
      <c r="P40" s="126"/>
      <c r="Q40" s="126"/>
      <c r="R40" s="126"/>
      <c r="S40" s="126"/>
      <c r="T40" s="126"/>
      <c r="U40" s="126"/>
      <c r="V40" s="126"/>
      <c r="W40" s="126"/>
      <c r="X40" s="126"/>
    </row>
    <row r="41" spans="1:24">
      <c r="A41" s="369"/>
      <c r="B41" s="409"/>
      <c r="C41" s="398"/>
      <c r="D41" s="412"/>
      <c r="E41" s="623"/>
      <c r="F41" s="169"/>
      <c r="G41" s="126"/>
      <c r="H41" s="126"/>
      <c r="I41" s="126"/>
      <c r="J41" s="126"/>
      <c r="K41" s="126"/>
      <c r="L41" s="126"/>
      <c r="M41" s="126"/>
      <c r="N41" s="126"/>
      <c r="O41" s="129"/>
      <c r="P41" s="126"/>
      <c r="Q41" s="126"/>
      <c r="R41" s="126"/>
      <c r="S41" s="126"/>
      <c r="T41" s="126"/>
      <c r="U41" s="126"/>
      <c r="V41" s="126"/>
      <c r="W41" s="126"/>
      <c r="X41" s="126"/>
    </row>
    <row r="42" spans="1:24">
      <c r="A42" s="369"/>
      <c r="B42" s="409" t="s">
        <v>88</v>
      </c>
      <c r="C42" s="398"/>
      <c r="D42" s="412">
        <f>-(Emprunt!K68+Emprunt!K69)</f>
        <v>0</v>
      </c>
      <c r="E42" s="623">
        <f t="shared" ref="E42" si="6">+D42/$D$44*100</f>
        <v>0</v>
      </c>
      <c r="F42" s="169"/>
      <c r="G42" s="126"/>
      <c r="H42" s="126"/>
      <c r="I42" s="126"/>
      <c r="J42" s="126"/>
      <c r="K42" s="126"/>
      <c r="L42" s="126"/>
      <c r="M42" s="126"/>
      <c r="N42" s="126"/>
      <c r="O42" s="129"/>
      <c r="P42" s="126"/>
      <c r="Q42" s="126"/>
      <c r="R42" s="126"/>
      <c r="S42" s="126"/>
      <c r="T42" s="126"/>
      <c r="U42" s="126"/>
      <c r="V42" s="126"/>
      <c r="W42" s="126"/>
      <c r="X42" s="126"/>
    </row>
    <row r="43" spans="1:24">
      <c r="A43" s="369"/>
      <c r="B43" s="409"/>
      <c r="C43" s="398"/>
      <c r="D43" s="412"/>
      <c r="E43" s="956"/>
      <c r="F43" s="126"/>
      <c r="G43" s="126"/>
      <c r="H43" s="126"/>
      <c r="I43" s="126"/>
      <c r="J43" s="126"/>
      <c r="K43" s="126"/>
      <c r="L43" s="126"/>
      <c r="M43" s="126"/>
      <c r="N43" s="126"/>
      <c r="O43" s="129"/>
      <c r="P43" s="126"/>
      <c r="Q43" s="126"/>
      <c r="R43" s="126"/>
      <c r="S43" s="126"/>
      <c r="T43" s="126"/>
      <c r="U43" s="126"/>
      <c r="V43" s="126"/>
      <c r="W43" s="126"/>
      <c r="X43" s="126"/>
    </row>
    <row r="44" spans="1:24" s="108" customFormat="1" ht="17.25" customHeight="1">
      <c r="A44" s="42"/>
      <c r="B44" s="927" t="s">
        <v>89</v>
      </c>
      <c r="C44" s="928"/>
      <c r="D44" s="1034">
        <f>ROUNDDOWN(SUM(D34:D43),2)</f>
        <v>11465750.199999999</v>
      </c>
      <c r="E44" s="1034">
        <f>SUM(E33:E43)</f>
        <v>100.00000000000001</v>
      </c>
      <c r="F44" s="126"/>
      <c r="G44" s="129"/>
      <c r="H44" s="129"/>
      <c r="I44" s="129"/>
      <c r="J44" s="129"/>
      <c r="K44" s="129"/>
      <c r="L44" s="129"/>
      <c r="M44" s="126"/>
      <c r="N44" s="126"/>
      <c r="O44" s="129"/>
      <c r="P44" s="129"/>
      <c r="Q44" s="129"/>
      <c r="R44" s="129"/>
      <c r="S44" s="129"/>
      <c r="T44" s="129"/>
      <c r="U44" s="129"/>
      <c r="V44" s="129"/>
      <c r="W44" s="129"/>
      <c r="X44" s="129"/>
    </row>
    <row r="45" spans="1:24" ht="15">
      <c r="A45" s="369"/>
      <c r="B45" s="126"/>
      <c r="C45" s="126"/>
      <c r="D45" s="217"/>
      <c r="E45" s="31"/>
      <c r="F45" s="126"/>
      <c r="G45" s="126"/>
      <c r="H45" s="9"/>
      <c r="I45" s="9"/>
      <c r="J45" s="9"/>
      <c r="K45" s="126"/>
      <c r="L45" s="126"/>
      <c r="M45" s="126"/>
      <c r="N45" s="126"/>
      <c r="O45" s="129"/>
      <c r="P45" s="126"/>
      <c r="Q45" s="126"/>
      <c r="R45" s="126"/>
      <c r="S45" s="126"/>
      <c r="T45" s="126"/>
      <c r="U45" s="126"/>
      <c r="V45" s="126"/>
      <c r="W45" s="126"/>
      <c r="X45" s="126"/>
    </row>
    <row r="46" spans="1:24">
      <c r="A46" s="369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9"/>
      <c r="P46" s="126"/>
      <c r="Q46" s="126"/>
      <c r="R46" s="126"/>
      <c r="S46" s="126"/>
      <c r="T46" s="126"/>
      <c r="U46" s="126"/>
      <c r="V46" s="126"/>
      <c r="W46" s="126"/>
      <c r="X46" s="126"/>
    </row>
    <row r="47" spans="1:24" ht="60">
      <c r="A47" s="369"/>
      <c r="B47" s="953" t="s">
        <v>90</v>
      </c>
      <c r="C47" s="954"/>
      <c r="D47" s="1043" t="s">
        <v>83</v>
      </c>
      <c r="E47" s="1044" t="s">
        <v>91</v>
      </c>
      <c r="F47" s="1043" t="s">
        <v>92</v>
      </c>
      <c r="G47" s="1043" t="s">
        <v>51</v>
      </c>
      <c r="H47" s="1045" t="s">
        <v>84</v>
      </c>
      <c r="I47" s="126"/>
      <c r="J47" s="126"/>
      <c r="K47" s="126"/>
      <c r="L47" s="126"/>
      <c r="M47" s="126"/>
      <c r="N47" s="126"/>
      <c r="O47" s="129"/>
      <c r="P47" s="126"/>
      <c r="Q47" s="126"/>
      <c r="R47" s="126"/>
      <c r="S47" s="126"/>
      <c r="T47" s="126"/>
      <c r="U47" s="126"/>
      <c r="V47" s="126"/>
      <c r="W47" s="126"/>
      <c r="X47" s="126"/>
    </row>
    <row r="48" spans="1:24">
      <c r="A48" s="369"/>
      <c r="B48" s="1040"/>
      <c r="C48" s="397"/>
      <c r="D48" s="1046"/>
      <c r="E48" s="1046"/>
      <c r="F48" s="1046"/>
      <c r="G48" s="1046"/>
      <c r="H48" s="1042"/>
      <c r="I48" s="126"/>
      <c r="J48" s="126"/>
      <c r="K48" s="126"/>
      <c r="L48" s="126"/>
      <c r="M48" s="126"/>
      <c r="N48" s="126"/>
      <c r="O48" s="129"/>
      <c r="P48" s="126"/>
      <c r="Q48" s="126"/>
      <c r="R48" s="126"/>
      <c r="S48" s="126"/>
      <c r="T48" s="126"/>
      <c r="U48" s="126"/>
      <c r="V48" s="126"/>
      <c r="W48" s="126"/>
      <c r="X48" s="126"/>
    </row>
    <row r="49" spans="1:24">
      <c r="A49" s="369"/>
      <c r="B49" s="409" t="s">
        <v>93</v>
      </c>
      <c r="C49" s="398"/>
      <c r="D49" s="777">
        <f>D34</f>
        <v>11366786.710000001</v>
      </c>
      <c r="E49" s="778"/>
      <c r="F49" s="777"/>
      <c r="G49" s="777">
        <f>D49+E49+F49</f>
        <v>11366786.710000001</v>
      </c>
      <c r="H49" s="779">
        <f>+G49/$G$59</f>
        <v>0.99136877323561445</v>
      </c>
      <c r="I49" s="126"/>
      <c r="J49" s="126"/>
      <c r="K49" s="126"/>
      <c r="L49" s="126"/>
      <c r="M49" s="126"/>
      <c r="N49" s="126"/>
      <c r="O49" s="129"/>
      <c r="P49" s="126"/>
      <c r="Q49" s="126"/>
      <c r="R49" s="126"/>
      <c r="S49" s="126"/>
      <c r="T49" s="126"/>
      <c r="U49" s="126"/>
      <c r="V49" s="126"/>
      <c r="W49" s="126"/>
      <c r="X49" s="126"/>
    </row>
    <row r="50" spans="1:24">
      <c r="A50" s="369"/>
      <c r="B50" s="409"/>
      <c r="C50" s="398"/>
      <c r="D50" s="777"/>
      <c r="E50" s="777"/>
      <c r="F50" s="777"/>
      <c r="G50" s="777"/>
      <c r="H50" s="779"/>
      <c r="I50" s="126"/>
      <c r="J50" s="126"/>
      <c r="K50" s="126"/>
      <c r="L50" s="126"/>
      <c r="M50" s="126"/>
      <c r="N50" s="126"/>
      <c r="O50" s="129"/>
      <c r="P50" s="126"/>
      <c r="Q50" s="126"/>
      <c r="R50" s="126"/>
      <c r="S50" s="126"/>
      <c r="T50" s="126"/>
      <c r="U50" s="126"/>
      <c r="V50" s="126"/>
      <c r="W50" s="126"/>
      <c r="X50" s="126"/>
    </row>
    <row r="51" spans="1:24">
      <c r="A51" s="369"/>
      <c r="B51" s="409" t="s">
        <v>94</v>
      </c>
      <c r="C51" s="398"/>
      <c r="D51" s="777">
        <f t="shared" ref="D51:D57" si="7">D36</f>
        <v>109211.49</v>
      </c>
      <c r="E51" s="777"/>
      <c r="F51" s="777"/>
      <c r="G51" s="777">
        <f t="shared" ref="G51:G57" si="8">D51+E51+F51</f>
        <v>109211.49</v>
      </c>
      <c r="H51" s="779">
        <f>+G51/$G$59</f>
        <v>9.5250191304534094E-3</v>
      </c>
      <c r="I51" s="126"/>
      <c r="J51" s="126"/>
      <c r="K51" s="126"/>
      <c r="L51" s="126"/>
      <c r="M51" s="126"/>
      <c r="N51" s="126"/>
      <c r="O51" s="129"/>
      <c r="P51" s="126"/>
      <c r="Q51" s="126"/>
      <c r="R51" s="126"/>
      <c r="S51" s="126"/>
      <c r="T51" s="126"/>
      <c r="U51" s="126"/>
      <c r="V51" s="126"/>
      <c r="W51" s="126"/>
      <c r="X51" s="126"/>
    </row>
    <row r="52" spans="1:24">
      <c r="A52" s="369"/>
      <c r="B52" s="409"/>
      <c r="C52" s="398"/>
      <c r="D52" s="777"/>
      <c r="E52" s="777"/>
      <c r="F52" s="777"/>
      <c r="G52" s="777"/>
      <c r="H52" s="779"/>
      <c r="I52" s="126"/>
      <c r="J52" s="126"/>
      <c r="K52" s="126"/>
      <c r="L52" s="126"/>
      <c r="M52" s="126"/>
      <c r="N52" s="126"/>
      <c r="O52" s="129"/>
      <c r="P52" s="126"/>
      <c r="Q52" s="126"/>
      <c r="R52" s="126"/>
      <c r="S52" s="126"/>
      <c r="T52" s="126"/>
      <c r="U52" s="126"/>
      <c r="V52" s="126"/>
      <c r="W52" s="126"/>
      <c r="X52" s="126"/>
    </row>
    <row r="53" spans="1:24">
      <c r="A53" s="369"/>
      <c r="B53" s="409" t="s">
        <v>95</v>
      </c>
      <c r="C53" s="398"/>
      <c r="D53" s="777">
        <f t="shared" si="7"/>
        <v>0</v>
      </c>
      <c r="E53" s="780"/>
      <c r="F53" s="777"/>
      <c r="G53" s="777">
        <f t="shared" si="8"/>
        <v>0</v>
      </c>
      <c r="H53" s="779">
        <f>+G53/$G$59</f>
        <v>0</v>
      </c>
      <c r="I53" s="126"/>
      <c r="J53" s="126"/>
      <c r="K53" s="126"/>
      <c r="L53" s="126"/>
      <c r="M53" s="126"/>
      <c r="N53" s="126"/>
      <c r="O53" s="129"/>
      <c r="P53" s="126"/>
      <c r="Q53" s="126"/>
      <c r="R53" s="126"/>
      <c r="S53" s="126"/>
      <c r="T53" s="126"/>
      <c r="U53" s="126"/>
      <c r="V53" s="126"/>
      <c r="W53" s="126"/>
      <c r="X53" s="126"/>
    </row>
    <row r="54" spans="1:24">
      <c r="A54" s="369"/>
      <c r="B54" s="409"/>
      <c r="C54" s="398"/>
      <c r="D54" s="777"/>
      <c r="E54" s="128"/>
      <c r="F54" s="777"/>
      <c r="G54" s="777"/>
      <c r="H54" s="779"/>
      <c r="I54" s="126"/>
      <c r="J54" s="126"/>
      <c r="K54" s="126"/>
      <c r="L54" s="126"/>
      <c r="M54" s="126"/>
      <c r="N54" s="126"/>
      <c r="O54" s="129"/>
      <c r="P54" s="126"/>
      <c r="Q54" s="126"/>
      <c r="R54" s="126"/>
      <c r="S54" s="126"/>
      <c r="T54" s="126"/>
      <c r="U54" s="126"/>
      <c r="V54" s="126"/>
      <c r="W54" s="126"/>
      <c r="X54" s="126"/>
    </row>
    <row r="55" spans="1:24">
      <c r="A55" s="369"/>
      <c r="B55" s="409" t="s">
        <v>96</v>
      </c>
      <c r="C55" s="398"/>
      <c r="D55" s="777">
        <f t="shared" si="7"/>
        <v>-10248</v>
      </c>
      <c r="E55" s="780"/>
      <c r="F55" s="777"/>
      <c r="G55" s="777">
        <f t="shared" si="8"/>
        <v>-10248</v>
      </c>
      <c r="H55" s="779">
        <f>+G55/$G$59</f>
        <v>-8.9379236606776944E-4</v>
      </c>
      <c r="I55" s="126"/>
      <c r="J55" s="126"/>
      <c r="K55" s="126"/>
      <c r="L55" s="126"/>
      <c r="M55" s="126"/>
      <c r="N55" s="126"/>
      <c r="O55" s="129"/>
      <c r="P55" s="126"/>
      <c r="Q55" s="126"/>
      <c r="R55" s="126"/>
      <c r="S55" s="126"/>
      <c r="T55" s="126"/>
      <c r="U55" s="126"/>
      <c r="V55" s="126"/>
      <c r="W55" s="126"/>
      <c r="X55" s="126"/>
    </row>
    <row r="56" spans="1:24">
      <c r="A56" s="369"/>
      <c r="B56" s="409"/>
      <c r="C56" s="398"/>
      <c r="D56" s="777"/>
      <c r="E56" s="777"/>
      <c r="F56" s="777"/>
      <c r="G56" s="777"/>
      <c r="H56" s="779"/>
      <c r="I56" s="126"/>
      <c r="J56" s="126"/>
      <c r="K56" s="126"/>
      <c r="L56" s="126"/>
      <c r="M56" s="126"/>
      <c r="N56" s="126"/>
      <c r="O56" s="129"/>
      <c r="P56" s="126"/>
      <c r="Q56" s="126"/>
      <c r="R56" s="126"/>
      <c r="S56" s="126"/>
      <c r="T56" s="126"/>
      <c r="U56" s="126"/>
      <c r="V56" s="126"/>
      <c r="W56" s="126"/>
      <c r="X56" s="126"/>
    </row>
    <row r="57" spans="1:24">
      <c r="A57" s="369"/>
      <c r="B57" s="409" t="s">
        <v>97</v>
      </c>
      <c r="C57" s="398"/>
      <c r="D57" s="777">
        <f t="shared" si="7"/>
        <v>0</v>
      </c>
      <c r="E57" s="777"/>
      <c r="F57" s="777"/>
      <c r="G57" s="777">
        <f t="shared" si="8"/>
        <v>0</v>
      </c>
      <c r="H57" s="779">
        <f>+G57/$G$59</f>
        <v>0</v>
      </c>
      <c r="I57" s="126"/>
      <c r="J57" s="126"/>
      <c r="K57" s="126"/>
      <c r="L57" s="126"/>
      <c r="M57" s="126"/>
      <c r="N57" s="126"/>
      <c r="O57" s="129"/>
      <c r="P57" s="126"/>
      <c r="Q57" s="126"/>
      <c r="R57" s="126"/>
      <c r="S57" s="126"/>
      <c r="T57" s="126"/>
      <c r="U57" s="126"/>
      <c r="V57" s="126"/>
      <c r="W57" s="126"/>
      <c r="X57" s="126"/>
    </row>
    <row r="58" spans="1:24">
      <c r="A58" s="369"/>
      <c r="B58" s="409"/>
      <c r="C58" s="398"/>
      <c r="D58" s="957"/>
      <c r="E58" s="781"/>
      <c r="F58" s="781"/>
      <c r="G58" s="781"/>
      <c r="H58" s="958"/>
      <c r="I58" s="126"/>
      <c r="J58" s="126"/>
      <c r="K58" s="126"/>
      <c r="L58" s="126"/>
      <c r="M58" s="126"/>
      <c r="N58" s="126"/>
      <c r="O58" s="129"/>
      <c r="P58" s="126"/>
      <c r="Q58" s="126"/>
      <c r="R58" s="126"/>
      <c r="S58" s="126"/>
      <c r="T58" s="126"/>
      <c r="U58" s="126"/>
      <c r="V58" s="126"/>
      <c r="W58" s="126"/>
      <c r="X58" s="126"/>
    </row>
    <row r="59" spans="1:24">
      <c r="A59" s="369"/>
      <c r="B59" s="927" t="s">
        <v>98</v>
      </c>
      <c r="C59" s="928"/>
      <c r="D59" s="1047">
        <f t="shared" ref="D59:F59" si="9">ROUNDDOWN(SUM(D48:D58),2)</f>
        <v>11465750.199999999</v>
      </c>
      <c r="E59" s="1047">
        <f t="shared" si="9"/>
        <v>0</v>
      </c>
      <c r="F59" s="1047">
        <f t="shared" si="9"/>
        <v>0</v>
      </c>
      <c r="G59" s="1047">
        <f>ROUNDDOWN(SUM(G48:G58),2)</f>
        <v>11465750.199999999</v>
      </c>
      <c r="H59" s="1048">
        <f>SUM(H48:H58)</f>
        <v>1.0000000000000002</v>
      </c>
      <c r="I59" s="126"/>
      <c r="J59" s="126"/>
      <c r="K59" s="126"/>
      <c r="L59" s="126"/>
      <c r="M59" s="126"/>
      <c r="N59" s="126"/>
      <c r="O59" s="129"/>
      <c r="P59" s="126"/>
      <c r="Q59" s="126"/>
      <c r="R59" s="126"/>
      <c r="S59" s="126"/>
      <c r="T59" s="126"/>
      <c r="U59" s="126"/>
      <c r="V59" s="126"/>
      <c r="W59" s="126"/>
      <c r="X59" s="126"/>
    </row>
    <row r="62" spans="1:24">
      <c r="A62" s="369"/>
      <c r="B62" s="126"/>
      <c r="C62" s="126"/>
      <c r="D62" s="126"/>
      <c r="E62" s="959" t="s">
        <v>99</v>
      </c>
      <c r="F62" s="960" t="str">
        <f>IF((D44-G59)=0,"OK","Anomalies")</f>
        <v>OK</v>
      </c>
      <c r="G62" s="840"/>
      <c r="H62" s="126"/>
      <c r="I62" s="126"/>
      <c r="J62" s="126"/>
      <c r="K62" s="126"/>
      <c r="L62" s="126"/>
      <c r="M62" s="126"/>
      <c r="N62" s="126"/>
      <c r="O62" s="129"/>
      <c r="P62" s="126"/>
      <c r="Q62" s="126"/>
      <c r="R62" s="126"/>
      <c r="S62" s="126"/>
      <c r="T62" s="126"/>
      <c r="U62" s="126"/>
      <c r="V62" s="126"/>
      <c r="W62" s="126"/>
      <c r="X62" s="126"/>
    </row>
  </sheetData>
  <phoneticPr fontId="15" type="noConversion"/>
  <pageMargins left="7.874015748031496E-2" right="7.874015748031496E-2" top="0.31496062992125984" bottom="0.43307086614173229" header="0.11811023622047245" footer="0.31496062992125984"/>
  <pageSetup paperSize="9" scale="54" fitToWidth="2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6E33-8780-41E6-9658-4F50798960C8}">
  <sheetPr>
    <pageSetUpPr fitToPage="1"/>
  </sheetPr>
  <dimension ref="A1:K19"/>
  <sheetViews>
    <sheetView view="pageBreakPreview" zoomScaleNormal="80" zoomScaleSheetLayoutView="100" workbookViewId="0"/>
  </sheetViews>
  <sheetFormatPr defaultColWidth="11.42578125" defaultRowHeight="12.75" customHeight="1"/>
  <cols>
    <col min="1" max="1" width="19.5703125" style="116" customWidth="1"/>
    <col min="2" max="2" width="24.85546875" style="116" customWidth="1"/>
    <col min="3" max="3" width="16.5703125" style="116" customWidth="1"/>
    <col min="4" max="4" width="27.5703125" style="116" customWidth="1"/>
    <col min="5" max="5" width="18.85546875" style="116" bestFit="1" customWidth="1"/>
    <col min="6" max="6" width="17.140625" style="116" customWidth="1"/>
    <col min="7" max="7" width="1" style="118" customWidth="1"/>
    <col min="8" max="8" width="18" style="116" customWidth="1"/>
    <col min="9" max="10" width="11.42578125" style="116"/>
    <col min="11" max="11" width="18.85546875" style="116" customWidth="1"/>
    <col min="12" max="16384" width="11.42578125" style="116"/>
  </cols>
  <sheetData>
    <row r="1" spans="1:11" s="115" customFormat="1" ht="15.75">
      <c r="B1" s="111" t="str">
        <f>+Inventaire!B1</f>
        <v>SANCY - SLP</v>
      </c>
      <c r="C1" s="112"/>
      <c r="D1" s="113" t="s">
        <v>100</v>
      </c>
      <c r="E1" s="113"/>
      <c r="F1" s="114">
        <f>+Inventaire!H1</f>
        <v>46022</v>
      </c>
    </row>
    <row r="2" spans="1:11" s="115" customFormat="1" ht="15.75">
      <c r="B2" s="111"/>
      <c r="C2" s="112"/>
      <c r="D2" s="113"/>
      <c r="E2" s="113"/>
      <c r="F2" s="113"/>
    </row>
    <row r="3" spans="1:11" ht="15.75">
      <c r="C3" s="117"/>
      <c r="E3" s="113"/>
    </row>
    <row r="4" spans="1:11" ht="36" customHeight="1">
      <c r="B4" s="961" t="s">
        <v>89</v>
      </c>
      <c r="C4" s="962"/>
      <c r="D4" s="1049">
        <f>Inventaire!C7</f>
        <v>11465750.199999999</v>
      </c>
      <c r="E4" s="113"/>
    </row>
    <row r="5" spans="1:11" ht="15.75">
      <c r="C5" s="117"/>
      <c r="E5" s="113"/>
    </row>
    <row r="6" spans="1:11" ht="15.75">
      <c r="C6" s="117"/>
      <c r="E6" s="113"/>
      <c r="F6" s="686" t="str">
        <f>IF(F7=0,"OK","Anomalie")</f>
        <v>OK</v>
      </c>
    </row>
    <row r="7" spans="1:11" s="119" customFormat="1" ht="33.75">
      <c r="B7" s="1050" t="s">
        <v>9</v>
      </c>
      <c r="C7" s="1051" t="s">
        <v>101</v>
      </c>
      <c r="D7" s="1052" t="s">
        <v>102</v>
      </c>
      <c r="E7" s="1053" t="s">
        <v>103</v>
      </c>
      <c r="F7" s="687">
        <f>D4-D12</f>
        <v>0</v>
      </c>
      <c r="H7" s="240" t="s">
        <v>104</v>
      </c>
      <c r="I7" s="240" t="s">
        <v>105</v>
      </c>
      <c r="J7" s="241" t="s">
        <v>106</v>
      </c>
      <c r="K7" s="242" t="s">
        <v>107</v>
      </c>
    </row>
    <row r="8" spans="1:11" s="119" customFormat="1">
      <c r="B8" s="1054"/>
      <c r="C8" s="321"/>
      <c r="D8" s="181"/>
      <c r="E8" s="1055"/>
      <c r="F8" s="121"/>
      <c r="H8" s="122"/>
      <c r="I8" s="243"/>
      <c r="J8" s="243"/>
      <c r="K8" s="244"/>
    </row>
    <row r="9" spans="1:11" ht="15">
      <c r="A9" s="540" t="s">
        <v>108</v>
      </c>
      <c r="B9" s="289" t="s">
        <v>10</v>
      </c>
      <c r="C9" s="290">
        <v>15379.56</v>
      </c>
      <c r="D9" s="182">
        <f>$D$4*C9/$C$12</f>
        <v>11465004.729731036</v>
      </c>
      <c r="E9" s="245">
        <f>ROUNDDOWN(D9/C9,6)</f>
        <v>745.47026800000003</v>
      </c>
      <c r="F9" s="121"/>
      <c r="H9" s="122">
        <f>E9*C9</f>
        <v>11465004.71492208</v>
      </c>
      <c r="I9" s="243">
        <f>D9-H9</f>
        <v>1.4808956533670425E-2</v>
      </c>
      <c r="J9" s="246">
        <f>+I9/C9/100</f>
        <v>9.6289858316300517E-9</v>
      </c>
      <c r="K9" s="244" t="str">
        <f>IF(J9&gt;0.01,"'ANOMALIE","'OK")</f>
        <v>'OK</v>
      </c>
    </row>
    <row r="10" spans="1:11">
      <c r="A10" s="116" t="s">
        <v>109</v>
      </c>
      <c r="B10" s="289" t="s">
        <v>110</v>
      </c>
      <c r="C10" s="290">
        <v>1</v>
      </c>
      <c r="D10" s="182">
        <f>$D$4*C10/$C$12</f>
        <v>745.47026896289856</v>
      </c>
      <c r="E10" s="253">
        <f>ROUNDDOWN(D10/C10,6)</f>
        <v>745.47026800000003</v>
      </c>
      <c r="F10" s="121"/>
      <c r="H10" s="122">
        <f>E10*C10</f>
        <v>745.47026800000003</v>
      </c>
      <c r="I10" s="243">
        <f>D10-H10</f>
        <v>9.6289852535846876E-7</v>
      </c>
      <c r="J10" s="246">
        <f>+I10/C10/100</f>
        <v>9.6289852535846873E-9</v>
      </c>
      <c r="K10" s="244" t="str">
        <f>IF(J10&gt;0.01,"'ANOMALIE","'OK")</f>
        <v>'OK</v>
      </c>
    </row>
    <row r="11" spans="1:11">
      <c r="B11" s="322"/>
      <c r="C11" s="323"/>
      <c r="D11" s="252"/>
      <c r="E11" s="963"/>
      <c r="F11" s="121"/>
      <c r="H11" s="122"/>
      <c r="I11" s="243"/>
      <c r="J11" s="243"/>
      <c r="K11" s="244"/>
    </row>
    <row r="12" spans="1:11" s="120" customFormat="1" ht="15.75" customHeight="1">
      <c r="B12" s="1056" t="s">
        <v>51</v>
      </c>
      <c r="C12" s="1057">
        <f>SUM(C9:C11)</f>
        <v>15380.56</v>
      </c>
      <c r="D12" s="1058">
        <f>SUM(D9:D11)</f>
        <v>11465750.199999999</v>
      </c>
      <c r="E12" s="1059"/>
      <c r="F12" s="121"/>
      <c r="G12" s="122"/>
      <c r="H12" s="175">
        <f>SUM(H9:H11)</f>
        <v>11465750.18519008</v>
      </c>
      <c r="I12" s="247">
        <f>SUM(I9:I11)</f>
        <v>1.4809919432195784E-2</v>
      </c>
      <c r="J12" s="248">
        <f>+I12/C12/100</f>
        <v>9.6289858315924679E-9</v>
      </c>
      <c r="K12" s="249" t="str">
        <f>IF(J12&gt;0.01,"'ANOMALIE","'OK")</f>
        <v>'OK</v>
      </c>
    </row>
    <row r="13" spans="1:11" s="120" customFormat="1" ht="15.75" customHeight="1">
      <c r="B13" s="683"/>
      <c r="C13" s="684"/>
      <c r="D13" s="684"/>
      <c r="E13" s="684"/>
      <c r="F13" s="121"/>
      <c r="G13" s="122"/>
      <c r="H13" s="685"/>
      <c r="I13" s="243"/>
      <c r="J13" s="246"/>
      <c r="K13" s="244"/>
    </row>
    <row r="14" spans="1:11" s="120" customFormat="1" ht="15.75" customHeight="1">
      <c r="B14" s="683"/>
      <c r="C14" s="684"/>
      <c r="D14" s="684"/>
      <c r="E14" s="684"/>
      <c r="F14" s="121"/>
      <c r="G14" s="122"/>
      <c r="H14" s="685"/>
      <c r="I14" s="243"/>
      <c r="J14" s="246"/>
      <c r="K14" s="244"/>
    </row>
    <row r="15" spans="1:11" ht="15.75">
      <c r="C15" s="250"/>
      <c r="E15" s="113"/>
      <c r="F15" s="121"/>
    </row>
    <row r="16" spans="1:11">
      <c r="E16" s="121"/>
      <c r="F16" s="121"/>
    </row>
    <row r="17" spans="2:7" s="123" customFormat="1" ht="15">
      <c r="B17" s="124"/>
      <c r="C17" s="124"/>
      <c r="D17" s="124"/>
      <c r="E17" s="124"/>
      <c r="F17" s="251"/>
      <c r="G17" s="125"/>
    </row>
    <row r="18" spans="2:7" s="123" customFormat="1" ht="15">
      <c r="B18" s="124"/>
      <c r="C18" s="124"/>
      <c r="D18" s="124"/>
      <c r="E18" s="124"/>
      <c r="F18" s="251"/>
      <c r="G18" s="125"/>
    </row>
    <row r="19" spans="2:7" ht="12.75" customHeight="1">
      <c r="C19" s="16"/>
    </row>
  </sheetData>
  <pageMargins left="0.78740157499999996" right="0.78740157499999996" top="0.984251969" bottom="0.984251969" header="0.4921259845" footer="0.4921259845"/>
  <pageSetup paperSize="9" scale="6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3E8E-5EB7-4477-8BEF-C8D015A49220}">
  <sheetPr>
    <pageSetUpPr fitToPage="1"/>
  </sheetPr>
  <dimension ref="A1:M335"/>
  <sheetViews>
    <sheetView view="pageBreakPreview" topLeftCell="A36" zoomScale="90" zoomScaleNormal="100" zoomScaleSheetLayoutView="90" workbookViewId="0">
      <selection activeCell="A48" sqref="A48"/>
    </sheetView>
  </sheetViews>
  <sheetFormatPr defaultColWidth="11.42578125" defaultRowHeight="12.75"/>
  <cols>
    <col min="1" max="1" width="9" style="511" bestFit="1" customWidth="1"/>
    <col min="2" max="2" width="11.5703125" style="511" bestFit="1" customWidth="1"/>
    <col min="3" max="3" width="15" style="509" customWidth="1"/>
    <col min="4" max="4" width="8.5703125" style="511" bestFit="1" customWidth="1"/>
    <col min="5" max="5" width="34" style="511" customWidth="1"/>
    <col min="6" max="6" width="20.42578125" style="23" customWidth="1"/>
    <col min="7" max="7" width="18.5703125" style="23" customWidth="1"/>
    <col min="8" max="8" width="23.42578125" style="511" bestFit="1" customWidth="1"/>
    <col min="9" max="9" width="64" style="511" customWidth="1"/>
    <col min="10" max="10" width="23.5703125" style="511" bestFit="1" customWidth="1"/>
    <col min="11" max="11" width="14.42578125" style="511" bestFit="1" customWidth="1"/>
    <col min="12" max="12" width="13.5703125" style="511" bestFit="1" customWidth="1"/>
    <col min="13" max="13" width="15.42578125" style="511" bestFit="1" customWidth="1"/>
    <col min="14" max="16384" width="11.42578125" style="511"/>
  </cols>
  <sheetData>
    <row r="1" spans="1:12">
      <c r="A1" s="509" t="s">
        <v>111</v>
      </c>
      <c r="B1" s="509" t="s">
        <v>112</v>
      </c>
      <c r="C1" s="509" t="s">
        <v>113</v>
      </c>
      <c r="D1" s="509" t="s">
        <v>114</v>
      </c>
      <c r="E1" s="510" t="s">
        <v>58</v>
      </c>
      <c r="F1" s="99" t="s">
        <v>115</v>
      </c>
      <c r="G1" s="99" t="s">
        <v>116</v>
      </c>
      <c r="H1" s="509" t="s">
        <v>117</v>
      </c>
    </row>
    <row r="2" spans="1:12">
      <c r="A2" s="512">
        <f>Sommaire!$C$1</f>
        <v>46022</v>
      </c>
      <c r="B2" s="509" t="s">
        <v>118</v>
      </c>
      <c r="C2" s="688">
        <v>31800000</v>
      </c>
      <c r="D2" s="509"/>
      <c r="E2" s="513" t="str">
        <f>"Valorisation au "&amp;TEXT(Sommaire!$C$1,"jj/mm/aa")</f>
        <v>Valorisation au 31/12/25</v>
      </c>
      <c r="F2" s="689">
        <f>IF(SUMIF(Inventaire!B13:B90,"??OC*",Inventaire!M13:M90)&gt;0,SUMIF(Inventaire!B13:B90,"??OC*",Inventaire!M13:M90),0)</f>
        <v>0</v>
      </c>
      <c r="G2" s="689">
        <f>IF(SUMIF(Inventaire!B13:B90,"??OC*",Inventaire!M13:M90)&lt;0,-SUMIF(Inventaire!B13:B90,"??OC*",Inventaire!M13:M90),0)</f>
        <v>0</v>
      </c>
      <c r="H2" s="509" t="s">
        <v>119</v>
      </c>
      <c r="I2" s="511" t="s">
        <v>120</v>
      </c>
    </row>
    <row r="3" spans="1:12">
      <c r="A3" s="512">
        <f>Sommaire!$C$1</f>
        <v>46022</v>
      </c>
      <c r="B3" s="509" t="s">
        <v>118</v>
      </c>
      <c r="C3" s="690">
        <v>70110000</v>
      </c>
      <c r="D3" s="691"/>
      <c r="E3" s="513" t="str">
        <f>"Valorisation au "&amp;TEXT(Sommaire!$C$1,"jj/mm/aa")</f>
        <v>Valorisation au 31/12/25</v>
      </c>
      <c r="F3" s="618"/>
      <c r="G3" s="618">
        <f>IF(SUMIF(Inventaire!B13:B90,"??OC*",Inventaire!M13:M90)&gt;0,SUMIF(Inventaire!B13:B90,"??OC*",Inventaire!M13:M90),0)</f>
        <v>0</v>
      </c>
      <c r="H3" s="509" t="s">
        <v>119</v>
      </c>
      <c r="I3" s="692" t="s">
        <v>121</v>
      </c>
      <c r="J3" s="511" t="s">
        <v>122</v>
      </c>
    </row>
    <row r="4" spans="1:12" s="535" customFormat="1">
      <c r="A4" s="512"/>
      <c r="B4" s="693"/>
      <c r="C4" s="693"/>
      <c r="D4" s="694"/>
      <c r="E4" s="695"/>
      <c r="F4" s="696"/>
      <c r="G4" s="696"/>
      <c r="H4" s="693"/>
      <c r="I4" s="697"/>
    </row>
    <row r="5" spans="1:12">
      <c r="A5" s="512">
        <f>Sommaire!$C$1</f>
        <v>46022</v>
      </c>
      <c r="B5" s="509" t="s">
        <v>118</v>
      </c>
      <c r="C5" s="688">
        <v>31800000</v>
      </c>
      <c r="D5" s="691"/>
      <c r="E5" s="513" t="str">
        <f>"Valorisation au "&amp;TEXT(Sommaire!$C$1,"jj/mm/aa")</f>
        <v>Valorisation au 31/12/25</v>
      </c>
      <c r="F5" s="618">
        <f>IF(SUMIF(Inventaire!B13:B90,"??OS*",Inventaire!M13:M90)+SUMIF(Inventaire!B13:B90,"??OR*",Inventaire!M13:M90)+SUMIF(Inventaire!B13:B90,"??CN*",Inventaire!M13:M90)&gt;0,SUMIF(Inventaire!B13:B90,"??OS*",Inventaire!M13:M90)+SUMIF(Inventaire!B13:B90,"??OR*",Inventaire!M13:M90)+SUMIF(Inventaire!B13:B90,"??CN*",Inventaire!M13:M90),0)</f>
        <v>0</v>
      </c>
      <c r="G5" s="618">
        <f>IF(SUMIF(Inventaire!B13:B90,"??OS*",Inventaire!M13:M90)+SUMIF(Inventaire!B13:B90,"??OR*",Inventaire!M13:M90)+SUMIF(Inventaire!B13:B90,"??CN*",Inventaire!M13:M90)&lt;0,-(SUMIF(Inventaire!B13:B90,"??OS*",Inventaire!M13:M90)+SUMIF(Inventaire!B13:B90,"??OR*",Inventaire!M13:M90)+SUMIF(Inventaire!B13:B90,"??CN*",Inventaire!M13:M90)),0)</f>
        <v>0</v>
      </c>
      <c r="H5" s="509" t="s">
        <v>119</v>
      </c>
      <c r="I5" s="698" t="s">
        <v>123</v>
      </c>
    </row>
    <row r="6" spans="1:12">
      <c r="A6" s="512">
        <f>Sommaire!$C$1</f>
        <v>46022</v>
      </c>
      <c r="B6" s="509" t="s">
        <v>118</v>
      </c>
      <c r="C6" s="690">
        <v>70000000</v>
      </c>
      <c r="D6" s="691"/>
      <c r="E6" s="513" t="str">
        <f>"Valorisation au "&amp;TEXT(Sommaire!$C$1,"jj/mm/aa")</f>
        <v>Valorisation au 31/12/25</v>
      </c>
      <c r="F6" s="618"/>
      <c r="G6" s="699">
        <f>IF(SUMIF(Inventaire!B13:B90,"??OS*",Inventaire!M13:M90)+SUMIF(Inventaire!B13:B90,"??OR*",Inventaire!M13:M90)+SUMIF(Inventaire!B13:B90,"??CN*",Inventaire!M13:M90)&gt;0,SUMIF(Inventaire!B13:B90,"??OS*",Inventaire!M13:M90)+SUMIF(Inventaire!B13:B90,"??OR*",Inventaire!M13:M90)+SUMIF(Inventaire!B13:B90,"??CN*",Inventaire!M13:M90),0)</f>
        <v>0</v>
      </c>
      <c r="H6" s="509" t="s">
        <v>119</v>
      </c>
      <c r="I6" s="700" t="s">
        <v>123</v>
      </c>
      <c r="J6" s="511" t="s">
        <v>124</v>
      </c>
    </row>
    <row r="7" spans="1:12">
      <c r="A7" s="512"/>
      <c r="B7" s="509"/>
      <c r="D7" s="691"/>
      <c r="E7" s="513"/>
      <c r="F7" s="618"/>
      <c r="G7" s="699"/>
      <c r="H7" s="509"/>
      <c r="I7" s="698"/>
    </row>
    <row r="8" spans="1:12">
      <c r="A8" s="512">
        <f>Sommaire!$C$1</f>
        <v>46022</v>
      </c>
      <c r="B8" s="509" t="s">
        <v>118</v>
      </c>
      <c r="C8" s="688">
        <v>36800000</v>
      </c>
      <c r="E8" s="513" t="str">
        <f>"Valorisation au "&amp;TEXT(Sommaire!$C$1,"jj/mm/aa")</f>
        <v>Valorisation au 31/12/25</v>
      </c>
      <c r="F8" s="699">
        <f>IF(SUMIF(Inventaire!B13:B90,"??PR*",Inventaire!M13:M90)+SUMIF(Inventaire!B13:B90,"??NO*",Inventaire!M13:M90)+SUMIF(Inventaire!B13:B90,"??CC*",Inventaire!M13:M90)&gt;0,SUMIF(Inventaire!B13:B90,"??PR*",Inventaire!M13:M90)+SUMIF(Inventaire!B13:B90,"??NO*",Inventaire!M13:M90)+SUMIF(Inventaire!B13:B90,"??CC*",Inventaire!M13:M90),0)</f>
        <v>0</v>
      </c>
      <c r="G8" s="699">
        <f>IF(SUMIF(Inventaire!B13:B90,"??PR*",Inventaire!M13:M90)+SUMIF(Inventaire!B13:B90,"??NO*",Inventaire!M13:M90)+SUMIF(Inventaire!B13:B90,"??CC*",Inventaire!M13:M90)&lt;0,-SUMIF(Inventaire!B13:B90,"??PR*",Inventaire!M13:M90)+SUMIF(Inventaire!B13:B90,"??NO*",Inventaire!M13:M90)+SUMIF(Inventaire!B13:B90,"??CC*",Inventaire!M13:M90),0)</f>
        <v>0</v>
      </c>
      <c r="H8" s="509" t="s">
        <v>119</v>
      </c>
      <c r="I8" s="701" t="s">
        <v>125</v>
      </c>
    </row>
    <row r="9" spans="1:12">
      <c r="A9" s="512">
        <f>Sommaire!$C$1</f>
        <v>46022</v>
      </c>
      <c r="B9" s="509" t="s">
        <v>118</v>
      </c>
      <c r="C9" s="690">
        <v>70600000</v>
      </c>
      <c r="D9" s="691"/>
      <c r="E9" s="513" t="str">
        <f>"Valorisation au "&amp;TEXT(Sommaire!$C$1,"jj/mm/aa")</f>
        <v>Valorisation au 31/12/25</v>
      </c>
      <c r="F9" s="618"/>
      <c r="G9" s="699">
        <f>IF(SUMIF(Inventaire!B13:B90,"??PR*",Inventaire!M13:M90)+SUMIF(Inventaire!B13:B90,"??NO*",Inventaire!M13:M90)+SUMIF(Inventaire!B13:B90,"??CC*",Inventaire!M13:M90)&gt;0,SUMIF(Inventaire!B13:B90,"??PR*",Inventaire!M13:M90)+SUMIF(Inventaire!B13:B90,"??NO*",Inventaire!M13:M90)+SUMIF(Inventaire!B13:B90,"??CC*",Inventaire!M13:M90),0)</f>
        <v>0</v>
      </c>
      <c r="H9" s="509" t="s">
        <v>119</v>
      </c>
      <c r="I9" s="702" t="s">
        <v>125</v>
      </c>
      <c r="J9" s="511" t="s">
        <v>126</v>
      </c>
      <c r="K9" s="703"/>
      <c r="L9" s="703"/>
    </row>
    <row r="10" spans="1:12">
      <c r="A10" s="512"/>
      <c r="B10" s="509"/>
      <c r="D10" s="691"/>
      <c r="E10" s="513"/>
      <c r="F10" s="618"/>
      <c r="G10" s="699"/>
      <c r="H10" s="509"/>
      <c r="I10" s="697"/>
      <c r="K10" s="703"/>
      <c r="L10" s="703"/>
    </row>
    <row r="11" spans="1:12">
      <c r="A11" s="512">
        <f>Sommaire!$C$1</f>
        <v>46022</v>
      </c>
      <c r="B11" s="509" t="s">
        <v>118</v>
      </c>
      <c r="C11" s="688">
        <v>36800000</v>
      </c>
      <c r="D11" s="691"/>
      <c r="E11" s="513" t="str">
        <f>"Valorisation au "&amp;TEXT(Sommaire!$C$1,"jj/mm/aa")</f>
        <v>Valorisation au 31/12/25</v>
      </c>
      <c r="F11" s="618">
        <f>IF(+SUMIF(Inventaire!B16:B93,"??CT*",Inventaire!M16:M93)&gt;0,+SUMIF(Inventaire!B16:B93,"??CT*",Inventaire!M16:M93),0)</f>
        <v>0</v>
      </c>
      <c r="G11" s="699">
        <f>IF(+SUMIF(Inventaire!B16:B93,"??CT*",Inventaire!M16:M93)&lt;0,-SUMIF(Inventaire!B16:B93,"??CT*",Inventaire!M16:M93),0)</f>
        <v>0</v>
      </c>
      <c r="H11" s="509" t="s">
        <v>119</v>
      </c>
      <c r="I11" s="701" t="s">
        <v>127</v>
      </c>
      <c r="K11" s="703"/>
      <c r="L11" s="703"/>
    </row>
    <row r="12" spans="1:12">
      <c r="A12" s="512">
        <f>Sommaire!$C$1</f>
        <v>46022</v>
      </c>
      <c r="B12" s="509" t="s">
        <v>118</v>
      </c>
      <c r="C12" s="690">
        <v>70600000</v>
      </c>
      <c r="D12" s="691"/>
      <c r="E12" s="513" t="str">
        <f>"Valorisation au "&amp;TEXT(Sommaire!$C$1,"jj/mm/aa")</f>
        <v>Valorisation au 31/12/25</v>
      </c>
      <c r="F12" s="618"/>
      <c r="G12" s="699">
        <f>IF(+SUMIF(Inventaire!B16:B93,"??CT*",Inventaire!M16:M93)&gt;0,+SUMIF(Inventaire!B16:B93,"??CT*",Inventaire!M16:M93),0)</f>
        <v>0</v>
      </c>
      <c r="H12" s="509" t="s">
        <v>119</v>
      </c>
      <c r="I12" s="702" t="s">
        <v>127</v>
      </c>
      <c r="J12" s="511" t="s">
        <v>128</v>
      </c>
      <c r="K12" s="703"/>
      <c r="L12" s="703"/>
    </row>
    <row r="13" spans="1:12" s="535" customFormat="1">
      <c r="A13" s="512"/>
      <c r="B13" s="693"/>
      <c r="C13" s="693"/>
      <c r="D13" s="694"/>
      <c r="E13" s="695"/>
      <c r="F13" s="696"/>
      <c r="G13" s="704"/>
      <c r="H13" s="693"/>
      <c r="I13" s="697"/>
      <c r="K13" s="705"/>
      <c r="L13" s="705"/>
    </row>
    <row r="14" spans="1:12">
      <c r="A14" s="512">
        <f>Sommaire!$C$1</f>
        <v>46022</v>
      </c>
      <c r="B14" s="509" t="s">
        <v>118</v>
      </c>
      <c r="C14" s="688">
        <v>36800000</v>
      </c>
      <c r="D14" s="691"/>
      <c r="E14" s="513" t="str">
        <f>"Valorisation au "&amp;TEXT(Sommaire!$C$1,"jj/mm/aa")</f>
        <v>Valorisation au 31/12/25</v>
      </c>
      <c r="F14" s="618">
        <f>IF(SUMIF(Inventaire!B13:B90,"??AC*",Inventaire!M13:M90)+SUMIF(Inventaire!B13:B90,"??AD*",Inventaire!M13:M90)+SUMIF(Inventaire!B13:B90,"??SA*",Inventaire!M13:M90)+SUMIF(Inventaire!B13:B90,"??BS*",Inventaire!M13:M90)&gt;0,SUMIF(Inventaire!B13:B90,"??AC*",Inventaire!M13:M90)+SUMIF(Inventaire!B13:B90,"??AD*",Inventaire!M13:M90)+SUMIF(Inventaire!B13:B90,"??SA*",Inventaire!M13:M90)+SUMIF(Inventaire!B13:B90,"??BS*",Inventaire!M13:M90),0)</f>
        <v>0</v>
      </c>
      <c r="G14" s="699">
        <f>IF(SUMIF(Inventaire!B13:B90,"??AC*",Inventaire!M13:M90)+SUMIF(Inventaire!B13:B90,"??AD*",Inventaire!M13:M90)+SUMIF(Inventaire!B13:B90,"??SA*",Inventaire!M13:M90)+SUMIF(Inventaire!B13:B90,"??BS*",Inventaire!M13:M90)&lt;0,-SUMIF(Inventaire!B13:B90,"??AC*",Inventaire!M13:M90)+SUMIF(Inventaire!B13:B90,"??AD*",Inventaire!M13:M90)+SUMIF(Inventaire!B13:B90,"??SA*",Inventaire!M13:M90)+SUMIF(Inventaire!B13:B90,"??BS*",Inventaire!M13:M90),0)</f>
        <v>0</v>
      </c>
      <c r="H14" s="509" t="s">
        <v>119</v>
      </c>
      <c r="I14" s="698" t="s">
        <v>129</v>
      </c>
      <c r="K14" s="703"/>
      <c r="L14" s="703"/>
    </row>
    <row r="15" spans="1:12">
      <c r="A15" s="512">
        <f>Sommaire!$C$1</f>
        <v>46022</v>
      </c>
      <c r="B15" s="509" t="s">
        <v>118</v>
      </c>
      <c r="C15" s="690">
        <v>70000000</v>
      </c>
      <c r="D15" s="691"/>
      <c r="E15" s="513" t="str">
        <f>"Valorisation au "&amp;TEXT(Sommaire!$C$1,"jj/mm/aa")</f>
        <v>Valorisation au 31/12/25</v>
      </c>
      <c r="F15" s="618">
        <f>IF(SUMIF(Inventaire!B13:B90,"??AC*",Inventaire!M13:M90)+SUMIF(Inventaire!B13:B90,"??AD*",Inventaire!M13:M90)+SUMIF(Inventaire!B13:B90,"??SA*",Inventaire!M13:M90)+SUMIF(Inventaire!B13:B90,"??BS*",Inventaire!M13:M90)&lt;0,-SUMIF(Inventaire!B13:B90,"??AC*",Inventaire!M13:M90)+SUMIF(Inventaire!B13:B90,"??AD*",Inventaire!M13:M90)+SUMIF(Inventaire!B13:B90,"??SA*",Inventaire!M13:M90)+SUMIF(Inventaire!B13:B90,"??BS*",Inventaire!M13:M90),0)</f>
        <v>0</v>
      </c>
      <c r="G15" s="699">
        <f>IF(SUMIF(Inventaire!B13:B90,"??AC*",Inventaire!M13:M90)+SUMIF(Inventaire!B13:B90,"??AD*",Inventaire!M13:M90)+SUMIF(Inventaire!B13:B90,"??SA*",Inventaire!M13:M90)+SUMIF(Inventaire!B13:B90,"??BS*",Inventaire!M13:M90)&gt;0,SUMIF(Inventaire!B13:B90,"??AC*",Inventaire!M13:M90)+SUMIF(Inventaire!B13:B90,"??AD*",Inventaire!M13:M90)+SUMIF(Inventaire!B13:B90,"??SA*",Inventaire!M13:M90)+SUMIF(Inventaire!B13:B90,"??BS*",Inventaire!M13:M90),0)</f>
        <v>0</v>
      </c>
      <c r="H15" s="509" t="s">
        <v>119</v>
      </c>
      <c r="I15" s="697" t="s">
        <v>129</v>
      </c>
      <c r="J15" s="511" t="s">
        <v>130</v>
      </c>
      <c r="K15" s="703"/>
      <c r="L15" s="703"/>
    </row>
    <row r="16" spans="1:12" s="535" customFormat="1">
      <c r="A16" s="512"/>
      <c r="B16" s="693"/>
      <c r="C16" s="693"/>
      <c r="D16" s="694"/>
      <c r="E16" s="695"/>
      <c r="F16" s="696"/>
      <c r="G16" s="704"/>
      <c r="H16" s="693"/>
      <c r="I16" s="697"/>
      <c r="K16" s="705"/>
      <c r="L16" s="705"/>
    </row>
    <row r="17" spans="1:13">
      <c r="A17" s="512">
        <f>Sommaire!$C$1</f>
        <v>46022</v>
      </c>
      <c r="B17" s="509" t="s">
        <v>118</v>
      </c>
      <c r="C17" s="688">
        <v>37000000</v>
      </c>
      <c r="D17" s="691"/>
      <c r="E17" s="513" t="str">
        <f>"Valorisation au "&amp;TEXT(Sommaire!$C$1,"jj/mm/aa")</f>
        <v>Valorisation au 31/12/25</v>
      </c>
      <c r="F17" s="618">
        <f>IF(SUMIF(Inventaire!B13:B90,"??AC*",Inventaire!L13:L90)+SUMIF(Inventaire!B13:B90,"??AD*",Inventaire!L13:L90)+SUMIF(Inventaire!B13:B90,"??SA*",Inventaire!L13:L90)+SUMIF(Inventaire!B13:B90,"??BS*",Inventaire!L13:L90)&gt;0,(SUMIF(Inventaire!B13:B90,"??AC*",Inventaire!L13:L90)+SUMIF(Inventaire!B13:B90,"??AD*",Inventaire!L13:L90)+SUMIF(Inventaire!B13:B90,"??SA*",Inventaire!L13:L90)+SUMIF(Inventaire!B13:B90,"??BS*",Inventaire!L13:L90)),0)</f>
        <v>0</v>
      </c>
      <c r="G17" s="699">
        <f>IF(SUMIF(Inventaire!B13:B90,"??AC*",Inventaire!L13:L90)+SUMIF(Inventaire!B13:B90,"??AD*",Inventaire!L13:L90)+SUMIF(Inventaire!B13:B90,"??SA*",Inventaire!L13:L90)+SUMIF(Inventaire!B13:B90,"??BS*",Inventaire!L13:L90)&lt;0,-(SUMIF(Inventaire!B13:B90,"??AC*",Inventaire!L13:L90)+SUMIF(Inventaire!B13:B90,"??AD*",Inventaire!L13:L90)+SUMIF(Inventaire!B13:B90,"??SA*",Inventaire!L13:L90)+SUMIF(Inventaire!B13:B90,"??BS*",Inventaire!L13:L90)),0)</f>
        <v>3633212.33</v>
      </c>
      <c r="H17" s="706" t="s">
        <v>119</v>
      </c>
      <c r="I17" s="707" t="s">
        <v>131</v>
      </c>
      <c r="K17" s="703"/>
      <c r="L17" s="703"/>
    </row>
    <row r="18" spans="1:13">
      <c r="A18" s="512">
        <f>Sommaire!$C$1</f>
        <v>46022</v>
      </c>
      <c r="B18" s="509" t="s">
        <v>118</v>
      </c>
      <c r="C18" s="690">
        <v>75500000</v>
      </c>
      <c r="D18" s="509"/>
      <c r="E18" s="513" t="str">
        <f>"Valorisation au "&amp;TEXT(Sommaire!$C$1,"jj/mm/aa")</f>
        <v>Valorisation au 31/12/25</v>
      </c>
      <c r="F18" s="699">
        <f>IF(SUMIF(Inventaire!B13:B90,"??AC*",Inventaire!L13:L90)+SUMIF(Inventaire!B13:B90,"??AD*",Inventaire!L13:L90)+SUMIF(Inventaire!B13:B90,"??SA*",Inventaire!L13:L90)+SUMIF(Inventaire!B13:B90,"??BS*",Inventaire!L13:L90)&lt;0,-(SUMIF(Inventaire!B13:B90,"??AC*",Inventaire!L13:L90)+SUMIF(Inventaire!B13:B90,"??AD*",Inventaire!L13:L90)+SUMIF(Inventaire!B13:B90,"??SA*",Inventaire!L13:L90)+SUMIF(Inventaire!B13:B90,"??BS*",Inventaire!L13:L90)),0)</f>
        <v>3633212.33</v>
      </c>
      <c r="G18" s="699">
        <f>IF(SUMIF(Inventaire!B13:B90,"??AC*",Inventaire!L13:L90)+SUMIF(Inventaire!B13:B90,"??AD*",Inventaire!L13:L90)+SUMIF(Inventaire!B13:B90,"??SA*",Inventaire!L13:L90)+SUMIF(Inventaire!B13:B90,"??BS*",Inventaire!L13:L90)&gt;0,(SUMIF(Inventaire!B13:B90,"??AC*",Inventaire!L13:L90)+SUMIF(Inventaire!B13:B90,"??AD*",Inventaire!L13:L90)+SUMIF(Inventaire!B13:B90,"??SA*",Inventaire!L13:L90)+SUMIF(Inventaire!B13:B90,"??BS*",Inventaire!L13:L90)),0)</f>
        <v>0</v>
      </c>
      <c r="H18" s="706" t="s">
        <v>119</v>
      </c>
      <c r="I18" s="708" t="s">
        <v>131</v>
      </c>
      <c r="J18" s="703"/>
    </row>
    <row r="19" spans="1:13" s="535" customFormat="1">
      <c r="A19" s="512"/>
      <c r="B19" s="693"/>
      <c r="C19" s="693"/>
      <c r="D19" s="693"/>
      <c r="E19" s="695"/>
      <c r="F19" s="704"/>
      <c r="G19" s="704"/>
      <c r="H19" s="709"/>
      <c r="I19" s="710"/>
      <c r="J19" s="705"/>
    </row>
    <row r="20" spans="1:13">
      <c r="A20" s="512">
        <f>Sommaire!$C$1</f>
        <v>46022</v>
      </c>
      <c r="B20" s="509" t="s">
        <v>118</v>
      </c>
      <c r="C20" s="688">
        <v>37100000</v>
      </c>
      <c r="E20" s="513" t="str">
        <f>"Valorisation au "&amp;TEXT(Sommaire!$C$1,"jj/mm/aa")</f>
        <v>Valorisation au 31/12/25</v>
      </c>
      <c r="F20" s="699">
        <f>IF(SUMIF(Inventaire!B13:B90,"??OC*",Inventaire!L13:L90)&gt;0,(SUMIF(Inventaire!B13:B90,"??OC*",Inventaire!L13:L90)),0)</f>
        <v>0</v>
      </c>
      <c r="G20" s="699">
        <f>IF(SUMIF(Inventaire!B13:B90,"??OC*",Inventaire!L13:L90)&lt;0,-(SUMIF(Inventaire!B13:B90,"??OC*",Inventaire!L13:L90)),0)</f>
        <v>0</v>
      </c>
      <c r="H20" s="509" t="s">
        <v>119</v>
      </c>
      <c r="I20" s="711" t="s">
        <v>132</v>
      </c>
    </row>
    <row r="21" spans="1:13">
      <c r="A21" s="512">
        <f>Sommaire!$C$1</f>
        <v>46022</v>
      </c>
      <c r="B21" s="509" t="s">
        <v>118</v>
      </c>
      <c r="C21" s="690">
        <v>75512000</v>
      </c>
      <c r="D21" s="509"/>
      <c r="E21" s="513" t="str">
        <f>"Valorisation au "&amp;TEXT(Sommaire!$C$1,"jj/mm/aa")</f>
        <v>Valorisation au 31/12/25</v>
      </c>
      <c r="F21" s="699">
        <f>IF(SUMIF(Inventaire!B13:B90,"??OC*",Inventaire!L13:L90)&lt;0,-(SUMIF(Inventaire!B13:B90,"??OC*",Inventaire!L13:L90)),0)</f>
        <v>0</v>
      </c>
      <c r="G21" s="699">
        <f>IF(SUMIF(Inventaire!B13:B90,"??OC*",Inventaire!L13:L90)&gt;0,(SUMIF(Inventaire!B13:B90,"??OC*",Inventaire!L13:L90)),0)</f>
        <v>0</v>
      </c>
      <c r="H21" s="514" t="s">
        <v>119</v>
      </c>
      <c r="I21" s="712" t="s">
        <v>132</v>
      </c>
      <c r="J21" s="703"/>
    </row>
    <row r="22" spans="1:13" s="535" customFormat="1">
      <c r="A22" s="512"/>
      <c r="B22" s="693"/>
      <c r="C22" s="693"/>
      <c r="D22" s="693"/>
      <c r="E22" s="695"/>
      <c r="F22" s="704"/>
      <c r="G22" s="704"/>
      <c r="H22" s="713"/>
      <c r="I22" s="714"/>
      <c r="J22" s="705"/>
      <c r="M22" s="704"/>
    </row>
    <row r="23" spans="1:13">
      <c r="A23" s="512">
        <f>Sommaire!$C$1</f>
        <v>46022</v>
      </c>
      <c r="B23" s="509" t="s">
        <v>118</v>
      </c>
      <c r="C23" s="688">
        <v>37100000</v>
      </c>
      <c r="D23" s="509"/>
      <c r="E23" s="513" t="str">
        <f>"Valorisation au "&amp;TEXT(Sommaire!$C$1,"jj/mm/aa")</f>
        <v>Valorisation au 31/12/25</v>
      </c>
      <c r="F23" s="699">
        <f>IF(SUMIF(Inventaire!B13:B90,"??OS*",Inventaire!L13:L90)+SUMIF(Inventaire!B13:B90,"??OR*",Inventaire!L13:L90)+SUMIF(Inventaire!B13:B90,"??CN*",Inventaire!L13:L90)&gt;0,+(SUMIF(Inventaire!B13:B90,"??OS*",Inventaire!L13:L90)+SUMIF(Inventaire!B13:B90,"??OR*",Inventaire!L13:L90)+SUMIF(Inventaire!B13:B90,"??CN*",Inventaire!L13:L90)),0)</f>
        <v>0</v>
      </c>
      <c r="G23" s="699">
        <f>IF(SUMIF(Inventaire!B13:B90,"??OS*",Inventaire!L13:L90)+SUMIF(Inventaire!B13:B90,"??OR*",Inventaire!L13:L90)+SUMIF(Inventaire!B13:B90,"??CN*",Inventaire!L13:L90)&lt;0,-(SUMIF(Inventaire!B13:B90,"??OS*",Inventaire!L13:L90)+SUMIF(Inventaire!B13:B90,"??OR*",Inventaire!L13:L90)+SUMIF(Inventaire!B13:B90,"??CN*",Inventaire!L13:L90)),0)</f>
        <v>0</v>
      </c>
      <c r="H23" s="514" t="s">
        <v>119</v>
      </c>
      <c r="I23" s="715" t="s">
        <v>133</v>
      </c>
      <c r="J23" s="703"/>
      <c r="M23" s="699"/>
    </row>
    <row r="24" spans="1:13">
      <c r="A24" s="512">
        <f>Sommaire!$C$1</f>
        <v>46022</v>
      </c>
      <c r="B24" s="509" t="s">
        <v>118</v>
      </c>
      <c r="C24" s="690">
        <v>75515000</v>
      </c>
      <c r="D24" s="509"/>
      <c r="E24" s="513" t="str">
        <f>"Valorisation au "&amp;TEXT(Sommaire!$C$1,"jj/mm/aa")</f>
        <v>Valorisation au 31/12/25</v>
      </c>
      <c r="F24" s="699">
        <f>IF(SUMIF(Inventaire!B13:B90,"??OS*",Inventaire!L13:L90)+SUMIF(Inventaire!B13:B90,"??OR*",Inventaire!L13:L90)+SUMIF(Inventaire!B13:B90,"??CN*",Inventaire!L13:L90)&lt;0,-(SUMIF(Inventaire!B13:B90,"??OS*",Inventaire!L13:L90)+SUMIF(Inventaire!B13:B90,"??OR*",Inventaire!L13:L90)+SUMIF(Inventaire!B13:B90,"??CN*",Inventaire!L13:L90)),0)</f>
        <v>0</v>
      </c>
      <c r="G24" s="699">
        <f>IF(SUMIF(Inventaire!B13:B90,"??OS*",Inventaire!L13:L90)+SUMIF(Inventaire!B13:B90,"??OR*",Inventaire!L13:L90)+SUMIF(Inventaire!B13:B90,"??CN*",Inventaire!L13:L90)&gt;0,+(SUMIF(Inventaire!B13:B90,"??OS*",Inventaire!L13:L90)+SUMIF(Inventaire!B13:B90,"??OR*",Inventaire!L13:L90)+SUMIF(Inventaire!B13:B90,"??CN*",Inventaire!L13:L90)),0)</f>
        <v>0</v>
      </c>
      <c r="H24" s="514" t="s">
        <v>119</v>
      </c>
      <c r="I24" s="716" t="s">
        <v>133</v>
      </c>
      <c r="J24" s="703"/>
    </row>
    <row r="25" spans="1:13">
      <c r="A25" s="512"/>
      <c r="B25" s="509"/>
      <c r="D25" s="509"/>
      <c r="E25" s="513"/>
      <c r="F25" s="699"/>
      <c r="G25" s="699"/>
      <c r="H25" s="514"/>
      <c r="I25" s="717"/>
      <c r="J25" s="703"/>
    </row>
    <row r="26" spans="1:13">
      <c r="A26" s="512">
        <f>Sommaire!$C$1</f>
        <v>46022</v>
      </c>
      <c r="B26" s="509" t="s">
        <v>118</v>
      </c>
      <c r="C26" s="688">
        <v>37600000</v>
      </c>
      <c r="E26" s="513" t="str">
        <f>"Valorisation au "&amp;TEXT(Sommaire!$C$1,"jj/mm/aa")</f>
        <v>Valorisation au 31/12/25</v>
      </c>
      <c r="F26" s="699">
        <f>IF(SUMIF(Inventaire!B13:B90,"??PR*",Inventaire!L13:L90)+SUMIF(Inventaire!B13:B90,"??NO*",Inventaire!L13:L90)+SUMIF(Inventaire!B13:B90,"??CC*",Inventaire!L13:L90)+SUMIF(Inventaire!B13:B90,"??CT*",Inventaire!L13:L90)&gt;0,+(SUMIF(Inventaire!B13:B90,"??PR*",Inventaire!L13:L90)+SUMIF(Inventaire!B13:B90,"??NO*",Inventaire!L13:L90)+SUMIF(Inventaire!B13:B90,"??CT*",Inventaire!L13:L90)+SUMIF(Inventaire!B13:B90,"??CC*",Inventaire!L13:L90)),0)</f>
        <v>0</v>
      </c>
      <c r="G26" s="699">
        <f>IF(SUMIF(Inventaire!B13:B90,"??PR*",Inventaire!L13:L90)+SUMIF(Inventaire!B13:B90,"??NO*",Inventaire!L13:L90)+SUMIF(Inventaire!B13:B90,"??CC*",Inventaire!L13:L90)+SUMIF(Inventaire!B13:B90,"??CT*",Inventaire!L13:L90)&lt;0,-(SUMIF(Inventaire!B13:B90,"??PR*",Inventaire!L13:L90)+SUMIF(Inventaire!B13:B90,"??NO*",Inventaire!L13:L90)+SUMIF(Inventaire!B13:B90,"??CT*",Inventaire!L13:L90)+SUMIF(Inventaire!B13:B90,"??CC*",Inventaire!L13:L90)),0)</f>
        <v>0</v>
      </c>
      <c r="H26" s="509" t="s">
        <v>119</v>
      </c>
      <c r="I26" s="718" t="s">
        <v>134</v>
      </c>
    </row>
    <row r="27" spans="1:13" s="535" customFormat="1" ht="15" customHeight="1">
      <c r="A27" s="512">
        <f>Sommaire!$C$1</f>
        <v>46022</v>
      </c>
      <c r="B27" s="509" t="s">
        <v>118</v>
      </c>
      <c r="C27" s="690">
        <v>75561000</v>
      </c>
      <c r="D27" s="691"/>
      <c r="E27" s="513" t="str">
        <f>"Valorisation au "&amp;TEXT(Sommaire!$C$1,"jj/mm/aa")</f>
        <v>Valorisation au 31/12/25</v>
      </c>
      <c r="F27" s="618">
        <f>IF(SUMIF(Inventaire!B13:B90,"??PR*",Inventaire!L13:L90)+SUMIF(Inventaire!B13:B90,"??NO*",Inventaire!L13:L90)+SUMIF(Inventaire!B13:B90,"??CC*",Inventaire!L13:L90)+SUMIF(Inventaire!B13:B90,"??CT*",Inventaire!L13:L90)&lt;0,-(SUMIF(Inventaire!B13:B90,"??PR*",Inventaire!L13:L90)+SUMIF(Inventaire!B13:B90,"??NO*",Inventaire!L13:L90)+SUMIF(Inventaire!B13:B90,"??CT*",Inventaire!L13:L90)+SUMIF(Inventaire!B13:B90,"??CC*",Inventaire!L13:L90)),0)</f>
        <v>0</v>
      </c>
      <c r="G27" s="699">
        <f>IF(SUMIF(Inventaire!B13:B90,"??PR*",Inventaire!L13:L90)+SUMIF(Inventaire!B13:B90,"??NO*",Inventaire!L13:L90)+SUMIF(Inventaire!B13:B90,"??CC*",Inventaire!L13:L90)+SUMIF(Inventaire!B13:B90,"??CT*",Inventaire!L13:L90)&gt;0,+(SUMIF(Inventaire!B13:B90,"??PR*",Inventaire!L13:L90)+SUMIF(Inventaire!B13:B90,"??NO*",Inventaire!L13:L90)+SUMIF(Inventaire!B13:B90,"??CT*",Inventaire!L13:L90)+SUMIF(Inventaire!B13:B90,"??CC*",Inventaire!L13:L90)),0)</f>
        <v>0</v>
      </c>
      <c r="H27" s="509" t="s">
        <v>119</v>
      </c>
      <c r="I27" s="719" t="s">
        <v>134</v>
      </c>
      <c r="K27" s="705"/>
      <c r="L27" s="705"/>
    </row>
    <row r="28" spans="1:13" s="535" customFormat="1" ht="15" customHeight="1">
      <c r="A28" s="512"/>
      <c r="B28" s="693"/>
      <c r="C28" s="693"/>
      <c r="D28" s="694"/>
      <c r="E28" s="695"/>
      <c r="F28" s="696"/>
      <c r="G28" s="704"/>
      <c r="H28" s="693"/>
      <c r="I28" s="697"/>
      <c r="K28" s="705"/>
      <c r="L28" s="705"/>
    </row>
    <row r="29" spans="1:13" s="535" customFormat="1" ht="15" customHeight="1">
      <c r="A29" s="512">
        <f>Sommaire!$C$1</f>
        <v>46022</v>
      </c>
      <c r="B29" s="509" t="s">
        <v>118</v>
      </c>
      <c r="C29" s="688">
        <v>37300000</v>
      </c>
      <c r="D29" s="691"/>
      <c r="E29" s="513" t="str">
        <f>"Valorisation au "&amp;TEXT(Sommaire!$C$1,"jj/mm/aa")</f>
        <v>Valorisation au 31/12/25</v>
      </c>
      <c r="F29" s="618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gt;0,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G29" s="69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lt;0,-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H29" s="509" t="s">
        <v>119</v>
      </c>
      <c r="I29" s="698" t="s">
        <v>135</v>
      </c>
      <c r="K29" s="705"/>
      <c r="L29" s="705"/>
    </row>
    <row r="30" spans="1:13" s="535" customFormat="1">
      <c r="A30" s="512">
        <f>Sommaire!$C$1</f>
        <v>46022</v>
      </c>
      <c r="B30" s="509" t="s">
        <v>118</v>
      </c>
      <c r="C30" s="690" t="s">
        <v>136</v>
      </c>
      <c r="D30" s="691"/>
      <c r="E30" s="513" t="str">
        <f>"Valorisation au "&amp;TEXT(Sommaire!$C$1,"jj/mm/aa")</f>
        <v>Valorisation au 31/12/25</v>
      </c>
      <c r="F30" s="69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lt;0,-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G30" s="699">
        <f>IF(SUMIF(Inventaire!C13:C90,"*sicav*",Inventaire!L13:L90)+SUMIF(Inventaire!C13:C90,"*FCP*",Inventaire!L13:L90)+SUMIF(Inventaire!C13:C90,"*FPCI*",Inventaire!L13:L90)+SUMIF(Inventaire!C13:C90,"*SLP*",Inventaire!L13:L90)+SUMIF(Inventaire!C13:C90,"*FIPS*",Inventaire!L13:L90)&gt;0,(SUMIF(Inventaire!C13:C90,"*sicav*",Inventaire!L13:L90)+SUMIF(Inventaire!C13:C90,"*FCP*",Inventaire!L13:L90)+SUMIF(Inventaire!C13:C90,"*FPCI*",Inventaire!L13:L90)+SUMIF(Inventaire!C13:C90,"*SLP*",Inventaire!L13:L90)+SUMIF(Inventaire!C13:C90,"*FIPS*",Inventaire!L13:L90)),0)</f>
        <v>0</v>
      </c>
      <c r="H30" s="509" t="s">
        <v>119</v>
      </c>
      <c r="I30" s="697" t="s">
        <v>135</v>
      </c>
      <c r="J30" s="535" t="s">
        <v>137</v>
      </c>
    </row>
    <row r="31" spans="1:13" s="535" customFormat="1">
      <c r="A31" s="512"/>
      <c r="B31" s="693"/>
      <c r="C31" s="693"/>
      <c r="D31" s="694"/>
      <c r="E31" s="695"/>
      <c r="F31" s="704"/>
      <c r="G31" s="704"/>
      <c r="H31" s="693"/>
      <c r="I31" s="697"/>
    </row>
    <row r="32" spans="1:13" s="535" customFormat="1">
      <c r="A32" s="512"/>
    </row>
    <row r="33" spans="1:11">
      <c r="A33" s="512">
        <f>Sommaire!$C$1</f>
        <v>46022</v>
      </c>
      <c r="B33" s="509" t="s">
        <v>118</v>
      </c>
      <c r="C33" s="688">
        <v>10410000</v>
      </c>
      <c r="E33" s="513" t="str">
        <f>"Valorisation au "&amp;TEXT(Sommaire!$C$1,"jj/mm/aa")</f>
        <v>Valorisation au 31/12/25</v>
      </c>
      <c r="F33" s="699"/>
      <c r="G33" s="699">
        <v>0</v>
      </c>
      <c r="H33" s="509" t="s">
        <v>119</v>
      </c>
      <c r="I33" s="720" t="s">
        <v>138</v>
      </c>
    </row>
    <row r="34" spans="1:11">
      <c r="A34" s="512">
        <f>Sommaire!$C$1</f>
        <v>46022</v>
      </c>
      <c r="B34" s="509" t="s">
        <v>118</v>
      </c>
      <c r="C34" s="688">
        <v>48700000</v>
      </c>
      <c r="E34" s="513" t="str">
        <f>"Valorisation au "&amp;TEXT(Sommaire!$C$1,"jj/mm/aa")</f>
        <v>Valorisation au 31/12/25</v>
      </c>
      <c r="F34" s="699">
        <v>0</v>
      </c>
      <c r="G34" s="699">
        <f>F33</f>
        <v>0</v>
      </c>
      <c r="H34" s="509" t="s">
        <v>119</v>
      </c>
      <c r="I34" s="720" t="str">
        <f>+I33</f>
        <v>Fund reserve</v>
      </c>
    </row>
    <row r="35" spans="1:11">
      <c r="A35" s="512"/>
      <c r="B35" s="509"/>
      <c r="E35" s="513"/>
      <c r="F35" s="135"/>
      <c r="G35" s="135"/>
      <c r="H35" s="514"/>
      <c r="I35" s="721"/>
    </row>
    <row r="36" spans="1:11">
      <c r="A36" s="512">
        <f>Sommaire!$C$1</f>
        <v>46022</v>
      </c>
      <c r="B36" s="509" t="s">
        <v>118</v>
      </c>
      <c r="C36" s="688">
        <v>39800000</v>
      </c>
      <c r="E36" s="513" t="str">
        <f>"Valorisation au "&amp;TEXT(Sommaire!$C$1,"jj/mm/aa")</f>
        <v>Valorisation au 31/12/25</v>
      </c>
      <c r="F36" s="135">
        <v>0</v>
      </c>
      <c r="G36" s="135">
        <f>Emprunt!K68</f>
        <v>0</v>
      </c>
      <c r="H36" s="514" t="s">
        <v>119</v>
      </c>
      <c r="I36" s="721" t="s">
        <v>139</v>
      </c>
    </row>
    <row r="37" spans="1:11">
      <c r="A37" s="512">
        <f>Sommaire!$C$1</f>
        <v>46022</v>
      </c>
      <c r="B37" s="509" t="s">
        <v>118</v>
      </c>
      <c r="C37" s="688">
        <v>60500000</v>
      </c>
      <c r="E37" s="513" t="str">
        <f>"Valorisation au "&amp;TEXT(Sommaire!$C$1,"jj/mm/aa")</f>
        <v>Valorisation au 31/12/25</v>
      </c>
      <c r="F37" s="135">
        <f>G36</f>
        <v>0</v>
      </c>
      <c r="G37" s="135">
        <f>F36</f>
        <v>0</v>
      </c>
      <c r="H37" s="514" t="s">
        <v>119</v>
      </c>
      <c r="I37" s="721" t="s">
        <v>139</v>
      </c>
    </row>
    <row r="38" spans="1:11">
      <c r="A38" s="512"/>
      <c r="B38" s="509"/>
      <c r="E38" s="513"/>
      <c r="F38" s="135"/>
      <c r="G38" s="135"/>
      <c r="H38" s="514"/>
      <c r="I38" s="721"/>
    </row>
    <row r="39" spans="1:11">
      <c r="A39" s="512"/>
      <c r="B39" s="509"/>
      <c r="E39" s="513"/>
      <c r="F39" s="135"/>
      <c r="G39" s="135"/>
      <c r="H39" s="514"/>
      <c r="I39" s="721"/>
    </row>
    <row r="40" spans="1:11">
      <c r="I40" s="515"/>
      <c r="J40" s="722"/>
      <c r="K40" s="722"/>
    </row>
    <row r="41" spans="1:11">
      <c r="A41" s="509"/>
      <c r="B41" s="509"/>
      <c r="C41" s="723"/>
      <c r="E41" s="260" t="s">
        <v>140</v>
      </c>
      <c r="F41" s="23">
        <f>SUM(F2:F40)</f>
        <v>3633212.33</v>
      </c>
      <c r="G41" s="23">
        <f>SUM(G3:G40)</f>
        <v>3633212.33</v>
      </c>
    </row>
    <row r="42" spans="1:11">
      <c r="A42" s="509"/>
      <c r="B42" s="509"/>
      <c r="E42" s="260" t="s">
        <v>141</v>
      </c>
      <c r="G42" s="23">
        <f>F41-G41</f>
        <v>0</v>
      </c>
      <c r="H42" s="511" t="s">
        <v>142</v>
      </c>
    </row>
    <row r="43" spans="1:11">
      <c r="E43" s="260"/>
      <c r="F43" s="135"/>
      <c r="G43" s="724" t="str">
        <f>IF(G42=0,"OK","ANOMALIE")</f>
        <v>OK</v>
      </c>
      <c r="I43" s="23"/>
    </row>
    <row r="44" spans="1:11">
      <c r="F44" s="135"/>
      <c r="H44" s="703"/>
    </row>
    <row r="45" spans="1:11">
      <c r="F45" s="135"/>
      <c r="H45" s="703"/>
    </row>
    <row r="46" spans="1:11">
      <c r="H46" s="703"/>
    </row>
    <row r="47" spans="1:11">
      <c r="A47" s="983" t="s">
        <v>143</v>
      </c>
      <c r="B47" s="983"/>
      <c r="C47" s="983"/>
      <c r="D47" s="983"/>
      <c r="E47" s="983"/>
      <c r="F47" s="983"/>
      <c r="G47" s="983"/>
      <c r="H47" s="983"/>
      <c r="I47" s="725"/>
    </row>
    <row r="48" spans="1:11">
      <c r="A48" s="512">
        <f>A2</f>
        <v>46022</v>
      </c>
      <c r="B48" s="509" t="s">
        <v>144</v>
      </c>
      <c r="C48" s="688">
        <f>C2</f>
        <v>31800000</v>
      </c>
      <c r="D48" s="509"/>
      <c r="E48" s="513" t="str">
        <f t="shared" ref="E48:I49" si="0">E2</f>
        <v>Valorisation au 31/12/25</v>
      </c>
      <c r="F48" s="689">
        <f t="shared" si="0"/>
        <v>0</v>
      </c>
      <c r="G48" s="689">
        <f t="shared" si="0"/>
        <v>0</v>
      </c>
      <c r="H48" s="509" t="str">
        <f t="shared" si="0"/>
        <v>E</v>
      </c>
      <c r="I48" s="511" t="str">
        <f t="shared" si="0"/>
        <v xml:space="preserve">Intérêts Courus sur OC </v>
      </c>
    </row>
    <row r="49" spans="1:11">
      <c r="A49" s="512">
        <f>A3</f>
        <v>46022</v>
      </c>
      <c r="B49" s="509" t="s">
        <v>144</v>
      </c>
      <c r="C49" s="690">
        <f>C3</f>
        <v>70110000</v>
      </c>
      <c r="D49" s="691"/>
      <c r="E49" s="513" t="str">
        <f t="shared" si="0"/>
        <v>Valorisation au 31/12/25</v>
      </c>
      <c r="F49" s="618">
        <f t="shared" si="0"/>
        <v>0</v>
      </c>
      <c r="G49" s="618">
        <f t="shared" si="0"/>
        <v>0</v>
      </c>
      <c r="H49" s="509" t="str">
        <f t="shared" si="0"/>
        <v>E</v>
      </c>
      <c r="I49" s="692" t="str">
        <f t="shared" si="0"/>
        <v>Intérêts courus sur OC</v>
      </c>
    </row>
    <row r="50" spans="1:11">
      <c r="A50" s="726"/>
      <c r="B50" s="693"/>
      <c r="C50" s="693"/>
      <c r="D50" s="694"/>
      <c r="E50" s="695"/>
      <c r="F50" s="696"/>
      <c r="G50" s="696"/>
      <c r="H50" s="693"/>
      <c r="I50" s="697"/>
    </row>
    <row r="51" spans="1:11">
      <c r="A51" s="512">
        <f>A5</f>
        <v>46022</v>
      </c>
      <c r="B51" s="509" t="s">
        <v>144</v>
      </c>
      <c r="C51" s="688">
        <f>C5</f>
        <v>31800000</v>
      </c>
      <c r="D51" s="691"/>
      <c r="E51" s="513" t="str">
        <f t="shared" ref="E51:I52" si="1">E5</f>
        <v>Valorisation au 31/12/25</v>
      </c>
      <c r="F51" s="618">
        <f t="shared" si="1"/>
        <v>0</v>
      </c>
      <c r="G51" s="618">
        <f t="shared" si="1"/>
        <v>0</v>
      </c>
      <c r="H51" s="509" t="str">
        <f t="shared" si="1"/>
        <v>E</v>
      </c>
      <c r="I51" s="698" t="str">
        <f t="shared" si="1"/>
        <v>Intérêts courus sur autres obligations</v>
      </c>
    </row>
    <row r="52" spans="1:11">
      <c r="A52" s="512">
        <f>A6</f>
        <v>46022</v>
      </c>
      <c r="B52" s="509" t="s">
        <v>144</v>
      </c>
      <c r="C52" s="690">
        <f>C6</f>
        <v>70000000</v>
      </c>
      <c r="D52" s="691"/>
      <c r="E52" s="513" t="str">
        <f t="shared" si="1"/>
        <v>Valorisation au 31/12/25</v>
      </c>
      <c r="F52" s="618">
        <f t="shared" si="1"/>
        <v>0</v>
      </c>
      <c r="G52" s="699">
        <f t="shared" si="1"/>
        <v>0</v>
      </c>
      <c r="H52" s="509" t="str">
        <f t="shared" si="1"/>
        <v>E</v>
      </c>
      <c r="I52" s="700" t="str">
        <f t="shared" si="1"/>
        <v>Intérêts courus sur autres obligations</v>
      </c>
    </row>
    <row r="53" spans="1:11">
      <c r="A53" s="512"/>
      <c r="B53" s="509"/>
      <c r="D53" s="691"/>
      <c r="E53" s="513"/>
      <c r="F53" s="618"/>
      <c r="G53" s="699"/>
      <c r="H53" s="509"/>
      <c r="I53" s="698"/>
    </row>
    <row r="54" spans="1:11" s="23" customFormat="1">
      <c r="A54" s="512">
        <f>A8</f>
        <v>46022</v>
      </c>
      <c r="B54" s="509" t="s">
        <v>144</v>
      </c>
      <c r="C54" s="688">
        <f>C8</f>
        <v>36800000</v>
      </c>
      <c r="D54" s="511"/>
      <c r="E54" s="513" t="str">
        <f t="shared" ref="E54:I55" si="2">E8</f>
        <v>Valorisation au 31/12/25</v>
      </c>
      <c r="F54" s="699">
        <f t="shared" si="2"/>
        <v>0</v>
      </c>
      <c r="G54" s="699">
        <f t="shared" si="2"/>
        <v>0</v>
      </c>
      <c r="H54" s="509" t="str">
        <f t="shared" si="2"/>
        <v>E</v>
      </c>
      <c r="I54" s="701" t="str">
        <f t="shared" si="2"/>
        <v>intérêts courus sur Prêt</v>
      </c>
      <c r="J54" s="511"/>
      <c r="K54" s="511"/>
    </row>
    <row r="55" spans="1:11" s="23" customFormat="1">
      <c r="A55" s="512">
        <f>A9</f>
        <v>46022</v>
      </c>
      <c r="B55" s="509" t="s">
        <v>144</v>
      </c>
      <c r="C55" s="690">
        <f>C9</f>
        <v>70600000</v>
      </c>
      <c r="D55" s="691"/>
      <c r="E55" s="513" t="str">
        <f t="shared" si="2"/>
        <v>Valorisation au 31/12/25</v>
      </c>
      <c r="F55" s="618">
        <f t="shared" si="2"/>
        <v>0</v>
      </c>
      <c r="G55" s="699">
        <f t="shared" si="2"/>
        <v>0</v>
      </c>
      <c r="H55" s="509" t="str">
        <f t="shared" si="2"/>
        <v>E</v>
      </c>
      <c r="I55" s="702" t="str">
        <f t="shared" si="2"/>
        <v>intérêts courus sur Prêt</v>
      </c>
      <c r="J55" s="511"/>
      <c r="K55" s="511"/>
    </row>
    <row r="56" spans="1:11" s="23" customFormat="1">
      <c r="A56" s="726"/>
      <c r="B56" s="693"/>
      <c r="C56" s="693"/>
      <c r="D56" s="694"/>
      <c r="E56" s="695"/>
      <c r="F56" s="696"/>
      <c r="G56" s="704"/>
      <c r="H56" s="693"/>
      <c r="I56" s="697"/>
      <c r="J56" s="511"/>
      <c r="K56" s="511"/>
    </row>
    <row r="57" spans="1:11" s="23" customFormat="1">
      <c r="A57" s="512">
        <f>A14</f>
        <v>46022</v>
      </c>
      <c r="B57" s="509" t="s">
        <v>144</v>
      </c>
      <c r="C57" s="688">
        <f>C14</f>
        <v>36800000</v>
      </c>
      <c r="D57" s="691"/>
      <c r="E57" s="513" t="str">
        <f t="shared" ref="E57:I58" si="3">E14</f>
        <v>Valorisation au 31/12/25</v>
      </c>
      <c r="F57" s="618">
        <f t="shared" si="3"/>
        <v>0</v>
      </c>
      <c r="G57" s="699">
        <f t="shared" si="3"/>
        <v>0</v>
      </c>
      <c r="H57" s="509" t="str">
        <f t="shared" si="3"/>
        <v>E</v>
      </c>
      <c r="I57" s="698" t="str">
        <f t="shared" si="3"/>
        <v>Intérêts courus sur actions</v>
      </c>
      <c r="J57" s="511"/>
      <c r="K57" s="511"/>
    </row>
    <row r="58" spans="1:11" s="23" customFormat="1">
      <c r="A58" s="512">
        <f>A15</f>
        <v>46022</v>
      </c>
      <c r="B58" s="509" t="s">
        <v>144</v>
      </c>
      <c r="C58" s="690">
        <f>C15</f>
        <v>70000000</v>
      </c>
      <c r="D58" s="691"/>
      <c r="E58" s="513" t="str">
        <f t="shared" si="3"/>
        <v>Valorisation au 31/12/25</v>
      </c>
      <c r="F58" s="618">
        <f t="shared" si="3"/>
        <v>0</v>
      </c>
      <c r="G58" s="699">
        <f t="shared" si="3"/>
        <v>0</v>
      </c>
      <c r="H58" s="509" t="str">
        <f t="shared" si="3"/>
        <v>E</v>
      </c>
      <c r="I58" s="697" t="str">
        <f t="shared" si="3"/>
        <v>Intérêts courus sur actions</v>
      </c>
      <c r="J58" s="511"/>
      <c r="K58" s="511"/>
    </row>
    <row r="59" spans="1:11" s="23" customFormat="1">
      <c r="A59" s="726"/>
      <c r="B59" s="693"/>
      <c r="C59" s="693"/>
      <c r="D59" s="694"/>
      <c r="E59" s="695"/>
      <c r="F59" s="696"/>
      <c r="G59" s="704"/>
      <c r="H59" s="693"/>
      <c r="I59" s="697"/>
      <c r="J59" s="511"/>
      <c r="K59" s="511"/>
    </row>
    <row r="60" spans="1:11" s="23" customFormat="1">
      <c r="A60" s="512">
        <f>A17</f>
        <v>46022</v>
      </c>
      <c r="B60" s="509" t="s">
        <v>144</v>
      </c>
      <c r="C60" s="688">
        <f>C17</f>
        <v>37000000</v>
      </c>
      <c r="D60" s="691"/>
      <c r="E60" s="513" t="str">
        <f t="shared" ref="E60:I61" si="4">E17</f>
        <v>Valorisation au 31/12/25</v>
      </c>
      <c r="F60" s="618">
        <f t="shared" si="4"/>
        <v>0</v>
      </c>
      <c r="G60" s="699">
        <f t="shared" si="4"/>
        <v>3633212.33</v>
      </c>
      <c r="H60" s="706" t="str">
        <f t="shared" si="4"/>
        <v>E</v>
      </c>
      <c r="I60" s="707" t="str">
        <f t="shared" si="4"/>
        <v xml:space="preserve">PVMV latentes nettes s/actions </v>
      </c>
      <c r="J60" s="511"/>
      <c r="K60" s="511"/>
    </row>
    <row r="61" spans="1:11" s="23" customFormat="1">
      <c r="A61" s="512">
        <f>A18</f>
        <v>46022</v>
      </c>
      <c r="B61" s="509" t="s">
        <v>144</v>
      </c>
      <c r="C61" s="690">
        <f>C18</f>
        <v>75500000</v>
      </c>
      <c r="D61" s="509"/>
      <c r="E61" s="513" t="str">
        <f t="shared" si="4"/>
        <v>Valorisation au 31/12/25</v>
      </c>
      <c r="F61" s="699">
        <f t="shared" si="4"/>
        <v>3633212.33</v>
      </c>
      <c r="G61" s="699">
        <f t="shared" si="4"/>
        <v>0</v>
      </c>
      <c r="H61" s="706" t="str">
        <f t="shared" si="4"/>
        <v>E</v>
      </c>
      <c r="I61" s="708" t="str">
        <f t="shared" si="4"/>
        <v xml:space="preserve">PVMV latentes nettes s/actions </v>
      </c>
      <c r="J61" s="511"/>
      <c r="K61" s="511"/>
    </row>
    <row r="62" spans="1:11" s="23" customFormat="1">
      <c r="A62" s="726"/>
      <c r="B62" s="693"/>
      <c r="C62" s="693"/>
      <c r="D62" s="693"/>
      <c r="E62" s="695"/>
      <c r="F62" s="704"/>
      <c r="G62" s="704"/>
      <c r="H62" s="709"/>
      <c r="I62" s="710"/>
      <c r="J62" s="511"/>
      <c r="K62" s="511"/>
    </row>
    <row r="63" spans="1:11" s="23" customFormat="1">
      <c r="A63" s="512">
        <f>A20</f>
        <v>46022</v>
      </c>
      <c r="B63" s="509" t="s">
        <v>144</v>
      </c>
      <c r="C63" s="688">
        <f>C20</f>
        <v>37100000</v>
      </c>
      <c r="D63" s="511"/>
      <c r="E63" s="513" t="str">
        <f t="shared" ref="E63:I64" si="5">E20</f>
        <v>Valorisation au 31/12/25</v>
      </c>
      <c r="F63" s="699">
        <f t="shared" si="5"/>
        <v>0</v>
      </c>
      <c r="G63" s="699">
        <f t="shared" si="5"/>
        <v>0</v>
      </c>
      <c r="H63" s="509" t="str">
        <f t="shared" si="5"/>
        <v>E</v>
      </c>
      <c r="I63" s="711" t="str">
        <f t="shared" si="5"/>
        <v>PVMV latentes nettes s/obligations convertibles en actions</v>
      </c>
      <c r="J63" s="511"/>
      <c r="K63" s="511"/>
    </row>
    <row r="64" spans="1:11" s="23" customFormat="1">
      <c r="A64" s="512">
        <f>A21</f>
        <v>46022</v>
      </c>
      <c r="B64" s="509" t="s">
        <v>144</v>
      </c>
      <c r="C64" s="690">
        <f>C21</f>
        <v>75512000</v>
      </c>
      <c r="D64" s="509"/>
      <c r="E64" s="513" t="str">
        <f t="shared" si="5"/>
        <v>Valorisation au 31/12/25</v>
      </c>
      <c r="F64" s="699">
        <f t="shared" si="5"/>
        <v>0</v>
      </c>
      <c r="G64" s="699">
        <f t="shared" si="5"/>
        <v>0</v>
      </c>
      <c r="H64" s="514" t="str">
        <f t="shared" si="5"/>
        <v>E</v>
      </c>
      <c r="I64" s="712" t="str">
        <f t="shared" si="5"/>
        <v>PVMV latentes nettes s/obligations convertibles en actions</v>
      </c>
      <c r="J64" s="511"/>
      <c r="K64" s="511"/>
    </row>
    <row r="65" spans="1:11" s="23" customFormat="1">
      <c r="A65" s="726"/>
      <c r="B65" s="693"/>
      <c r="C65" s="693"/>
      <c r="D65" s="693"/>
      <c r="E65" s="695"/>
      <c r="F65" s="704"/>
      <c r="G65" s="704"/>
      <c r="H65" s="713"/>
      <c r="I65" s="714"/>
      <c r="J65" s="511"/>
      <c r="K65" s="511"/>
    </row>
    <row r="66" spans="1:11" s="23" customFormat="1">
      <c r="A66" s="512">
        <f>A23</f>
        <v>46022</v>
      </c>
      <c r="B66" s="509" t="s">
        <v>144</v>
      </c>
      <c r="C66" s="688">
        <f>C23</f>
        <v>37100000</v>
      </c>
      <c r="D66" s="509"/>
      <c r="E66" s="513" t="str">
        <f t="shared" ref="E66:I67" si="6">E23</f>
        <v>Valorisation au 31/12/25</v>
      </c>
      <c r="F66" s="699">
        <f t="shared" si="6"/>
        <v>0</v>
      </c>
      <c r="G66" s="699">
        <f t="shared" si="6"/>
        <v>0</v>
      </c>
      <c r="H66" s="514" t="str">
        <f t="shared" si="6"/>
        <v>E</v>
      </c>
      <c r="I66" s="715" t="str">
        <f t="shared" si="6"/>
        <v>PVMV latentes nettes s/autres obligations</v>
      </c>
      <c r="J66" s="511"/>
      <c r="K66" s="511"/>
    </row>
    <row r="67" spans="1:11" s="23" customFormat="1">
      <c r="A67" s="512">
        <f>A24</f>
        <v>46022</v>
      </c>
      <c r="B67" s="509" t="s">
        <v>144</v>
      </c>
      <c r="C67" s="690">
        <f>C24</f>
        <v>75515000</v>
      </c>
      <c r="D67" s="509"/>
      <c r="E67" s="513" t="str">
        <f t="shared" si="6"/>
        <v>Valorisation au 31/12/25</v>
      </c>
      <c r="F67" s="699">
        <f t="shared" si="6"/>
        <v>0</v>
      </c>
      <c r="G67" s="699">
        <f t="shared" si="6"/>
        <v>0</v>
      </c>
      <c r="H67" s="514" t="str">
        <f t="shared" si="6"/>
        <v>E</v>
      </c>
      <c r="I67" s="716" t="str">
        <f t="shared" si="6"/>
        <v>PVMV latentes nettes s/autres obligations</v>
      </c>
      <c r="J67" s="511"/>
      <c r="K67" s="511"/>
    </row>
    <row r="68" spans="1:11" s="23" customFormat="1">
      <c r="A68" s="512"/>
      <c r="B68" s="509"/>
      <c r="C68" s="509"/>
      <c r="D68" s="509"/>
      <c r="E68" s="513"/>
      <c r="F68" s="699"/>
      <c r="G68" s="699"/>
      <c r="H68" s="514"/>
      <c r="I68" s="717"/>
      <c r="J68" s="511"/>
      <c r="K68" s="511"/>
    </row>
    <row r="69" spans="1:11" s="23" customFormat="1">
      <c r="A69" s="512">
        <f>A26</f>
        <v>46022</v>
      </c>
      <c r="B69" s="509" t="s">
        <v>144</v>
      </c>
      <c r="C69" s="688">
        <f>C26</f>
        <v>37600000</v>
      </c>
      <c r="D69" s="511"/>
      <c r="E69" s="513" t="str">
        <f t="shared" ref="E69:I70" si="7">E26</f>
        <v>Valorisation au 31/12/25</v>
      </c>
      <c r="F69" s="699">
        <f t="shared" si="7"/>
        <v>0</v>
      </c>
      <c r="G69" s="699">
        <f t="shared" si="7"/>
        <v>0</v>
      </c>
      <c r="H69" s="509" t="str">
        <f t="shared" si="7"/>
        <v>E</v>
      </c>
      <c r="I69" s="718" t="str">
        <f t="shared" si="7"/>
        <v>PVMV latentes nettes s/dépôt et autres investissements financiers</v>
      </c>
      <c r="J69" s="511"/>
      <c r="K69" s="511"/>
    </row>
    <row r="70" spans="1:11" s="23" customFormat="1">
      <c r="A70" s="512">
        <f>A27</f>
        <v>46022</v>
      </c>
      <c r="B70" s="509" t="s">
        <v>144</v>
      </c>
      <c r="C70" s="690">
        <f>C27</f>
        <v>75561000</v>
      </c>
      <c r="D70" s="691"/>
      <c r="E70" s="513" t="str">
        <f t="shared" si="7"/>
        <v>Valorisation au 31/12/25</v>
      </c>
      <c r="F70" s="618">
        <f t="shared" si="7"/>
        <v>0</v>
      </c>
      <c r="G70" s="699">
        <f t="shared" si="7"/>
        <v>0</v>
      </c>
      <c r="H70" s="509" t="str">
        <f t="shared" si="7"/>
        <v>E</v>
      </c>
      <c r="I70" s="719" t="str">
        <f t="shared" si="7"/>
        <v>PVMV latentes nettes s/dépôt et autres investissements financiers</v>
      </c>
      <c r="J70" s="511"/>
      <c r="K70" s="511"/>
    </row>
    <row r="71" spans="1:11" s="23" customFormat="1">
      <c r="A71" s="726"/>
      <c r="B71" s="693"/>
      <c r="C71" s="693"/>
      <c r="D71" s="694"/>
      <c r="E71" s="695"/>
      <c r="F71" s="696"/>
      <c r="G71" s="704"/>
      <c r="H71" s="693"/>
      <c r="I71" s="697"/>
      <c r="J71" s="511"/>
      <c r="K71" s="511"/>
    </row>
    <row r="72" spans="1:11" s="23" customFormat="1">
      <c r="A72" s="512">
        <f>A29</f>
        <v>46022</v>
      </c>
      <c r="B72" s="509" t="s">
        <v>144</v>
      </c>
      <c r="C72" s="688">
        <f>C29</f>
        <v>37300000</v>
      </c>
      <c r="D72" s="691"/>
      <c r="E72" s="513" t="str">
        <f t="shared" ref="E72:I73" si="8">E29</f>
        <v>Valorisation au 31/12/25</v>
      </c>
      <c r="F72" s="618">
        <f t="shared" si="8"/>
        <v>0</v>
      </c>
      <c r="G72" s="699">
        <f t="shared" si="8"/>
        <v>0</v>
      </c>
      <c r="H72" s="509" t="str">
        <f t="shared" si="8"/>
        <v>E</v>
      </c>
      <c r="I72" s="698" t="str">
        <f t="shared" si="8"/>
        <v>PVMV latentes nettes s/OPC</v>
      </c>
      <c r="J72" s="511"/>
      <c r="K72" s="511"/>
    </row>
    <row r="73" spans="1:11" s="23" customFormat="1">
      <c r="A73" s="512">
        <f>A30</f>
        <v>46022</v>
      </c>
      <c r="B73" s="509" t="s">
        <v>144</v>
      </c>
      <c r="C73" s="690" t="str">
        <f>C30</f>
        <v>75530000</v>
      </c>
      <c r="D73" s="691"/>
      <c r="E73" s="513" t="str">
        <f t="shared" si="8"/>
        <v>Valorisation au 31/12/25</v>
      </c>
      <c r="F73" s="699">
        <f t="shared" si="8"/>
        <v>0</v>
      </c>
      <c r="G73" s="699">
        <f t="shared" si="8"/>
        <v>0</v>
      </c>
      <c r="H73" s="509" t="str">
        <f t="shared" si="8"/>
        <v>E</v>
      </c>
      <c r="I73" s="697" t="str">
        <f t="shared" si="8"/>
        <v>PVMV latentes nettes s/OPC</v>
      </c>
      <c r="J73" s="511"/>
      <c r="K73" s="511"/>
    </row>
    <row r="74" spans="1:11">
      <c r="A74" s="726"/>
      <c r="B74" s="693"/>
      <c r="C74" s="693"/>
      <c r="D74" s="694"/>
      <c r="E74" s="695"/>
      <c r="F74" s="704"/>
      <c r="G74" s="704"/>
      <c r="H74" s="693"/>
      <c r="I74" s="697"/>
    </row>
    <row r="75" spans="1:11">
      <c r="A75" s="535"/>
      <c r="B75" s="535"/>
      <c r="C75" s="535"/>
      <c r="D75" s="535"/>
      <c r="E75" s="535"/>
      <c r="F75" s="535"/>
      <c r="G75" s="535"/>
      <c r="H75" s="535"/>
      <c r="I75" s="535"/>
    </row>
    <row r="76" spans="1:11">
      <c r="A76" s="512">
        <f>A33</f>
        <v>46022</v>
      </c>
      <c r="B76" s="509" t="s">
        <v>144</v>
      </c>
      <c r="C76" s="688">
        <f>C33</f>
        <v>10410000</v>
      </c>
      <c r="E76" s="513" t="str">
        <f t="shared" ref="E76:I77" si="9">E33</f>
        <v>Valorisation au 31/12/25</v>
      </c>
      <c r="F76" s="699">
        <f t="shared" si="9"/>
        <v>0</v>
      </c>
      <c r="G76" s="699">
        <f t="shared" si="9"/>
        <v>0</v>
      </c>
      <c r="H76" s="509" t="str">
        <f t="shared" si="9"/>
        <v>E</v>
      </c>
      <c r="I76" s="720" t="str">
        <f t="shared" si="9"/>
        <v>Fund reserve</v>
      </c>
    </row>
    <row r="77" spans="1:11">
      <c r="A77" s="512">
        <f>A34</f>
        <v>46022</v>
      </c>
      <c r="B77" s="509" t="s">
        <v>144</v>
      </c>
      <c r="C77" s="688">
        <f>C34</f>
        <v>48700000</v>
      </c>
      <c r="E77" s="513" t="str">
        <f t="shared" si="9"/>
        <v>Valorisation au 31/12/25</v>
      </c>
      <c r="F77" s="699">
        <f t="shared" si="9"/>
        <v>0</v>
      </c>
      <c r="G77" s="699">
        <f t="shared" si="9"/>
        <v>0</v>
      </c>
      <c r="H77" s="509" t="str">
        <f t="shared" si="9"/>
        <v>E</v>
      </c>
      <c r="I77" s="720" t="str">
        <f t="shared" si="9"/>
        <v>Fund reserve</v>
      </c>
    </row>
    <row r="78" spans="1:11">
      <c r="A78" s="512"/>
      <c r="B78" s="509"/>
      <c r="E78" s="513"/>
      <c r="F78" s="135"/>
      <c r="G78" s="135"/>
      <c r="H78" s="514"/>
      <c r="I78" s="720"/>
    </row>
    <row r="79" spans="1:11">
      <c r="A79" s="512">
        <f>A36</f>
        <v>46022</v>
      </c>
      <c r="B79" s="509" t="s">
        <v>144</v>
      </c>
      <c r="C79" s="688">
        <f>C36</f>
        <v>39800000</v>
      </c>
      <c r="E79" s="513" t="str">
        <f t="shared" ref="E79:I80" si="10">E36</f>
        <v>Valorisation au 31/12/25</v>
      </c>
      <c r="F79" s="135">
        <f t="shared" si="10"/>
        <v>0</v>
      </c>
      <c r="G79" s="135">
        <f t="shared" si="10"/>
        <v>0</v>
      </c>
      <c r="H79" s="514" t="str">
        <f t="shared" si="10"/>
        <v>E</v>
      </c>
      <c r="I79" s="720" t="str">
        <f t="shared" si="10"/>
        <v>Intérêts sur emprunts</v>
      </c>
    </row>
    <row r="80" spans="1:11">
      <c r="A80" s="512">
        <f>A37</f>
        <v>46022</v>
      </c>
      <c r="B80" s="509" t="s">
        <v>144</v>
      </c>
      <c r="C80" s="688">
        <f>C37</f>
        <v>60500000</v>
      </c>
      <c r="E80" s="513" t="str">
        <f t="shared" si="10"/>
        <v>Valorisation au 31/12/25</v>
      </c>
      <c r="F80" s="135">
        <f t="shared" si="10"/>
        <v>0</v>
      </c>
      <c r="G80" s="135">
        <f t="shared" si="10"/>
        <v>0</v>
      </c>
      <c r="H80" s="514" t="str">
        <f t="shared" si="10"/>
        <v>E</v>
      </c>
      <c r="I80" s="720" t="str">
        <f t="shared" si="10"/>
        <v>Intérêts sur emprunts</v>
      </c>
    </row>
    <row r="81" spans="1:9">
      <c r="A81" s="512"/>
      <c r="B81" s="509"/>
      <c r="E81" s="513"/>
      <c r="F81" s="135"/>
      <c r="G81" s="135"/>
      <c r="H81" s="514"/>
      <c r="I81" s="721"/>
    </row>
    <row r="82" spans="1:9">
      <c r="A82" s="512"/>
      <c r="B82" s="509"/>
      <c r="E82" s="513"/>
      <c r="F82" s="135"/>
      <c r="G82" s="135"/>
      <c r="H82" s="514"/>
      <c r="I82" s="721"/>
    </row>
    <row r="83" spans="1:9">
      <c r="F83" s="23">
        <f t="shared" ref="F83:G83" si="11">F40</f>
        <v>0</v>
      </c>
      <c r="G83" s="23">
        <f t="shared" si="11"/>
        <v>0</v>
      </c>
      <c r="I83" s="515"/>
    </row>
    <row r="84" spans="1:9">
      <c r="A84" s="509"/>
      <c r="B84" s="509"/>
      <c r="C84" s="723"/>
      <c r="E84" s="260" t="str">
        <f t="shared" ref="E84:H85" si="12">E41</f>
        <v>Contrôle</v>
      </c>
      <c r="F84" s="23">
        <f>SUM(F48:F83)</f>
        <v>3633212.33</v>
      </c>
      <c r="G84" s="23">
        <f>SUM(G48:G83)</f>
        <v>3633212.33</v>
      </c>
    </row>
    <row r="85" spans="1:9">
      <c r="A85" s="509"/>
      <c r="B85" s="509"/>
      <c r="E85" s="260" t="str">
        <f t="shared" si="12"/>
        <v>écart</v>
      </c>
      <c r="G85" s="23">
        <f>F84-G84</f>
        <v>0</v>
      </c>
      <c r="H85" s="511" t="str">
        <f t="shared" si="12"/>
        <v>ce contrôle toujours à zéro</v>
      </c>
    </row>
    <row r="86" spans="1:9">
      <c r="E86" s="260"/>
      <c r="F86" s="135"/>
      <c r="G86" s="724" t="str">
        <f>IF(G85=0,"OK","ANOMALIE")</f>
        <v>OK</v>
      </c>
      <c r="I86" s="23"/>
    </row>
    <row r="87" spans="1:9">
      <c r="F87" s="727"/>
      <c r="G87" s="727"/>
    </row>
    <row r="88" spans="1:9">
      <c r="A88" s="984" t="s">
        <v>145</v>
      </c>
      <c r="B88" s="984"/>
      <c r="C88" s="984"/>
      <c r="D88" s="984"/>
      <c r="E88" s="984"/>
      <c r="F88" s="984"/>
      <c r="G88" s="984"/>
      <c r="H88" s="984"/>
    </row>
    <row r="89" spans="1:9">
      <c r="A89" s="512">
        <f>A48+1</f>
        <v>46023</v>
      </c>
      <c r="B89" s="509" t="str">
        <f>B48</f>
        <v>OD</v>
      </c>
      <c r="C89" s="688">
        <f>C48</f>
        <v>31800000</v>
      </c>
      <c r="D89" s="509"/>
      <c r="E89" s="513" t="str">
        <f>+"Extourne valorisation au "&amp;TEXT(Sommaire!$C$1,"jj/mm/aaaa")</f>
        <v>Extourne valorisation au 31/12/2025</v>
      </c>
      <c r="F89" s="689">
        <f>G48</f>
        <v>0</v>
      </c>
      <c r="G89" s="689">
        <f>F48</f>
        <v>0</v>
      </c>
      <c r="H89" s="509" t="str">
        <f>H48</f>
        <v>E</v>
      </c>
      <c r="I89" s="511" t="str">
        <f>I48</f>
        <v xml:space="preserve">Intérêts Courus sur OC </v>
      </c>
    </row>
    <row r="90" spans="1:9">
      <c r="A90" s="512">
        <f t="shared" ref="A90:A121" si="13">A49+1</f>
        <v>46023</v>
      </c>
      <c r="B90" s="509" t="str">
        <f t="shared" ref="B90" si="14">B49</f>
        <v>OD</v>
      </c>
      <c r="C90" s="690">
        <v>65100000</v>
      </c>
      <c r="D90" s="691"/>
      <c r="E90" s="513" t="str">
        <f>+"Extourne valorisation au "&amp;TEXT(Sommaire!$C$1,"jj/mm/aaaa")</f>
        <v>Extourne valorisation au 31/12/2025</v>
      </c>
      <c r="F90" s="618">
        <f t="shared" ref="F90:F118" si="15">G49</f>
        <v>0</v>
      </c>
      <c r="G90" s="618">
        <f t="shared" ref="G90:G118" si="16">F49</f>
        <v>0</v>
      </c>
      <c r="H90" s="509" t="str">
        <f t="shared" ref="H90:I90" si="17">H49</f>
        <v>E</v>
      </c>
      <c r="I90" s="692" t="str">
        <f t="shared" si="17"/>
        <v>Intérêts courus sur OC</v>
      </c>
    </row>
    <row r="91" spans="1:9">
      <c r="A91" s="726"/>
      <c r="B91" s="693"/>
      <c r="C91" s="693"/>
      <c r="D91" s="694"/>
      <c r="E91" s="695"/>
      <c r="F91" s="696"/>
      <c r="G91" s="696"/>
      <c r="H91" s="693"/>
      <c r="I91" s="697"/>
    </row>
    <row r="92" spans="1:9">
      <c r="A92" s="512">
        <f t="shared" si="13"/>
        <v>46023</v>
      </c>
      <c r="B92" s="509" t="str">
        <f t="shared" ref="B92:C93" si="18">B51</f>
        <v>OD</v>
      </c>
      <c r="C92" s="688">
        <f t="shared" si="18"/>
        <v>31800000</v>
      </c>
      <c r="D92" s="691"/>
      <c r="E92" s="513" t="str">
        <f>+"Extourne valorisation au "&amp;TEXT(Sommaire!$C$1,"jj/mm/aaaa")</f>
        <v>Extourne valorisation au 31/12/2025</v>
      </c>
      <c r="F92" s="618">
        <f t="shared" si="15"/>
        <v>0</v>
      </c>
      <c r="G92" s="618">
        <f t="shared" si="16"/>
        <v>0</v>
      </c>
      <c r="H92" s="509" t="str">
        <f t="shared" ref="H92:I93" si="19">H51</f>
        <v>E</v>
      </c>
      <c r="I92" s="698" t="str">
        <f t="shared" si="19"/>
        <v>Intérêts courus sur autres obligations</v>
      </c>
    </row>
    <row r="93" spans="1:9">
      <c r="A93" s="512">
        <f t="shared" si="13"/>
        <v>46023</v>
      </c>
      <c r="B93" s="509" t="str">
        <f t="shared" si="18"/>
        <v>OD</v>
      </c>
      <c r="C93" s="690">
        <v>65100000</v>
      </c>
      <c r="D93" s="691"/>
      <c r="E93" s="513" t="str">
        <f>+"Extourne valorisation au "&amp;TEXT(Sommaire!$C$1,"jj/mm/aaaa")</f>
        <v>Extourne valorisation au 31/12/2025</v>
      </c>
      <c r="F93" s="618">
        <f t="shared" si="15"/>
        <v>0</v>
      </c>
      <c r="G93" s="699">
        <f t="shared" si="16"/>
        <v>0</v>
      </c>
      <c r="H93" s="509" t="str">
        <f t="shared" si="19"/>
        <v>E</v>
      </c>
      <c r="I93" s="700" t="str">
        <f t="shared" si="19"/>
        <v>Intérêts courus sur autres obligations</v>
      </c>
    </row>
    <row r="94" spans="1:9">
      <c r="A94" s="512"/>
      <c r="B94" s="509"/>
      <c r="D94" s="691"/>
      <c r="E94" s="513"/>
      <c r="F94" s="618"/>
      <c r="G94" s="699"/>
      <c r="H94" s="509"/>
      <c r="I94" s="698"/>
    </row>
    <row r="95" spans="1:9">
      <c r="A95" s="512">
        <f t="shared" si="13"/>
        <v>46023</v>
      </c>
      <c r="B95" s="509" t="str">
        <f t="shared" ref="B95:C96" si="20">B54</f>
        <v>OD</v>
      </c>
      <c r="C95" s="688">
        <f t="shared" si="20"/>
        <v>36800000</v>
      </c>
      <c r="E95" s="513" t="str">
        <f>+"Extourne valorisation au "&amp;TEXT(Sommaire!$C$1,"jj/mm/aaaa")</f>
        <v>Extourne valorisation au 31/12/2025</v>
      </c>
      <c r="F95" s="699">
        <f t="shared" si="15"/>
        <v>0</v>
      </c>
      <c r="G95" s="699">
        <f t="shared" si="16"/>
        <v>0</v>
      </c>
      <c r="H95" s="509" t="str">
        <f t="shared" ref="H95:I96" si="21">H54</f>
        <v>E</v>
      </c>
      <c r="I95" s="701" t="str">
        <f t="shared" si="21"/>
        <v>intérêts courus sur Prêt</v>
      </c>
    </row>
    <row r="96" spans="1:9">
      <c r="A96" s="512">
        <f t="shared" si="13"/>
        <v>46023</v>
      </c>
      <c r="B96" s="509" t="str">
        <f t="shared" si="20"/>
        <v>OD</v>
      </c>
      <c r="C96" s="690">
        <v>65100000</v>
      </c>
      <c r="D96" s="691"/>
      <c r="E96" s="513" t="str">
        <f>+"Extourne valorisation au "&amp;TEXT(Sommaire!$C$1,"jj/mm/aaaa")</f>
        <v>Extourne valorisation au 31/12/2025</v>
      </c>
      <c r="F96" s="618">
        <f t="shared" si="15"/>
        <v>0</v>
      </c>
      <c r="G96" s="699">
        <f t="shared" si="16"/>
        <v>0</v>
      </c>
      <c r="H96" s="509" t="str">
        <f t="shared" si="21"/>
        <v>E</v>
      </c>
      <c r="I96" s="702" t="str">
        <f t="shared" si="21"/>
        <v>intérêts courus sur Prêt</v>
      </c>
    </row>
    <row r="97" spans="1:9">
      <c r="A97" s="726"/>
      <c r="B97" s="693"/>
      <c r="C97" s="693"/>
      <c r="D97" s="694"/>
      <c r="E97" s="695"/>
      <c r="F97" s="696"/>
      <c r="G97" s="704"/>
      <c r="H97" s="693"/>
      <c r="I97" s="697"/>
    </row>
    <row r="98" spans="1:9">
      <c r="A98" s="512">
        <f t="shared" si="13"/>
        <v>46023</v>
      </c>
      <c r="B98" s="509" t="str">
        <f t="shared" ref="B98:C99" si="22">B57</f>
        <v>OD</v>
      </c>
      <c r="C98" s="688">
        <f t="shared" si="22"/>
        <v>36800000</v>
      </c>
      <c r="D98" s="691"/>
      <c r="E98" s="513" t="str">
        <f>+"Extourne valorisation au "&amp;TEXT(Sommaire!$C$1,"jj/mm/aaaa")</f>
        <v>Extourne valorisation au 31/12/2025</v>
      </c>
      <c r="F98" s="618">
        <f t="shared" si="15"/>
        <v>0</v>
      </c>
      <c r="G98" s="699">
        <f t="shared" si="16"/>
        <v>0</v>
      </c>
      <c r="H98" s="509" t="str">
        <f t="shared" ref="H98:I99" si="23">H57</f>
        <v>E</v>
      </c>
      <c r="I98" s="698" t="str">
        <f t="shared" si="23"/>
        <v>Intérêts courus sur actions</v>
      </c>
    </row>
    <row r="99" spans="1:9">
      <c r="A99" s="512">
        <f t="shared" si="13"/>
        <v>46023</v>
      </c>
      <c r="B99" s="509" t="str">
        <f t="shared" si="22"/>
        <v>OD</v>
      </c>
      <c r="C99" s="690">
        <v>65100000</v>
      </c>
      <c r="D99" s="691"/>
      <c r="E99" s="513" t="str">
        <f>+"Extourne valorisation au "&amp;TEXT(Sommaire!$C$1,"jj/mm/aaaa")</f>
        <v>Extourne valorisation au 31/12/2025</v>
      </c>
      <c r="F99" s="618">
        <f t="shared" si="15"/>
        <v>0</v>
      </c>
      <c r="G99" s="699">
        <f t="shared" si="16"/>
        <v>0</v>
      </c>
      <c r="H99" s="509" t="str">
        <f t="shared" si="23"/>
        <v>E</v>
      </c>
      <c r="I99" s="697" t="str">
        <f t="shared" si="23"/>
        <v>Intérêts courus sur actions</v>
      </c>
    </row>
    <row r="100" spans="1:9">
      <c r="A100" s="726"/>
      <c r="B100" s="693"/>
      <c r="C100" s="693"/>
      <c r="D100" s="694"/>
      <c r="E100" s="695"/>
      <c r="F100" s="696"/>
      <c r="G100" s="704"/>
      <c r="H100" s="693"/>
      <c r="I100" s="697"/>
    </row>
    <row r="101" spans="1:9">
      <c r="A101" s="512">
        <f t="shared" si="13"/>
        <v>46023</v>
      </c>
      <c r="B101" s="509" t="str">
        <f t="shared" ref="B101:C102" si="24">B60</f>
        <v>OD</v>
      </c>
      <c r="C101" s="688">
        <f t="shared" si="24"/>
        <v>37000000</v>
      </c>
      <c r="D101" s="691"/>
      <c r="E101" s="513" t="str">
        <f>+"Extourne valorisation au "&amp;TEXT(Sommaire!$C$1,"jj/mm/aaaa")</f>
        <v>Extourne valorisation au 31/12/2025</v>
      </c>
      <c r="F101" s="618">
        <f t="shared" si="15"/>
        <v>3633212.33</v>
      </c>
      <c r="G101" s="699">
        <f t="shared" si="16"/>
        <v>0</v>
      </c>
      <c r="H101" s="706" t="str">
        <f t="shared" ref="H101:I102" si="25">H60</f>
        <v>E</v>
      </c>
      <c r="I101" s="707" t="str">
        <f t="shared" si="25"/>
        <v xml:space="preserve">PVMV latentes nettes s/actions </v>
      </c>
    </row>
    <row r="102" spans="1:9">
      <c r="A102" s="512">
        <f t="shared" si="13"/>
        <v>46023</v>
      </c>
      <c r="B102" s="509" t="str">
        <f t="shared" si="24"/>
        <v>OD</v>
      </c>
      <c r="C102" s="690">
        <v>65100000</v>
      </c>
      <c r="D102" s="509"/>
      <c r="E102" s="513" t="str">
        <f>+"Extourne valorisation au "&amp;TEXT(Sommaire!$C$1,"jj/mm/aaaa")</f>
        <v>Extourne valorisation au 31/12/2025</v>
      </c>
      <c r="F102" s="699">
        <f t="shared" si="15"/>
        <v>0</v>
      </c>
      <c r="G102" s="699">
        <f t="shared" si="16"/>
        <v>3633212.33</v>
      </c>
      <c r="H102" s="706" t="str">
        <f t="shared" si="25"/>
        <v>E</v>
      </c>
      <c r="I102" s="708" t="str">
        <f t="shared" si="25"/>
        <v xml:space="preserve">PVMV latentes nettes s/actions </v>
      </c>
    </row>
    <row r="103" spans="1:9">
      <c r="A103" s="726"/>
      <c r="B103" s="693"/>
      <c r="C103" s="693"/>
      <c r="D103" s="693"/>
      <c r="E103" s="695"/>
      <c r="F103" s="704"/>
      <c r="G103" s="704"/>
      <c r="H103" s="709"/>
      <c r="I103" s="710"/>
    </row>
    <row r="104" spans="1:9">
      <c r="A104" s="512">
        <f t="shared" si="13"/>
        <v>46023</v>
      </c>
      <c r="B104" s="509" t="str">
        <f t="shared" ref="B104:C105" si="26">B63</f>
        <v>OD</v>
      </c>
      <c r="C104" s="688">
        <f t="shared" si="26"/>
        <v>37100000</v>
      </c>
      <c r="E104" s="513" t="str">
        <f>+"Extourne valorisation au "&amp;TEXT(Sommaire!$C$1,"jj/mm/aaaa")</f>
        <v>Extourne valorisation au 31/12/2025</v>
      </c>
      <c r="F104" s="699">
        <f t="shared" si="15"/>
        <v>0</v>
      </c>
      <c r="G104" s="699">
        <f t="shared" si="16"/>
        <v>0</v>
      </c>
      <c r="H104" s="509" t="str">
        <f t="shared" ref="H104:I105" si="27">H63</f>
        <v>E</v>
      </c>
      <c r="I104" s="711" t="str">
        <f t="shared" si="27"/>
        <v>PVMV latentes nettes s/obligations convertibles en actions</v>
      </c>
    </row>
    <row r="105" spans="1:9">
      <c r="A105" s="512">
        <f t="shared" si="13"/>
        <v>46023</v>
      </c>
      <c r="B105" s="509" t="str">
        <f t="shared" si="26"/>
        <v>OD</v>
      </c>
      <c r="C105" s="690">
        <v>65100000</v>
      </c>
      <c r="D105" s="509"/>
      <c r="E105" s="513" t="str">
        <f>+"Extourne valorisation au "&amp;TEXT(Sommaire!$C$1,"jj/mm/aaaa")</f>
        <v>Extourne valorisation au 31/12/2025</v>
      </c>
      <c r="F105" s="699">
        <f t="shared" si="15"/>
        <v>0</v>
      </c>
      <c r="G105" s="699">
        <f t="shared" si="16"/>
        <v>0</v>
      </c>
      <c r="H105" s="514" t="str">
        <f t="shared" si="27"/>
        <v>E</v>
      </c>
      <c r="I105" s="712" t="str">
        <f t="shared" si="27"/>
        <v>PVMV latentes nettes s/obligations convertibles en actions</v>
      </c>
    </row>
    <row r="106" spans="1:9">
      <c r="A106" s="726"/>
      <c r="B106" s="693"/>
      <c r="D106" s="693"/>
      <c r="E106" s="695"/>
      <c r="F106" s="704"/>
      <c r="G106" s="704"/>
      <c r="H106" s="713"/>
      <c r="I106" s="714"/>
    </row>
    <row r="107" spans="1:9">
      <c r="A107" s="512">
        <f t="shared" si="13"/>
        <v>46023</v>
      </c>
      <c r="B107" s="509" t="str">
        <f t="shared" ref="B107:C108" si="28">B66</f>
        <v>OD</v>
      </c>
      <c r="C107" s="688">
        <f t="shared" si="28"/>
        <v>37100000</v>
      </c>
      <c r="D107" s="509"/>
      <c r="E107" s="513" t="str">
        <f>+"Extourne valorisation au "&amp;TEXT(Sommaire!$C$1,"jj/mm/aaaa")</f>
        <v>Extourne valorisation au 31/12/2025</v>
      </c>
      <c r="F107" s="699">
        <f t="shared" si="15"/>
        <v>0</v>
      </c>
      <c r="G107" s="699">
        <f t="shared" si="16"/>
        <v>0</v>
      </c>
      <c r="H107" s="514" t="str">
        <f t="shared" ref="H107:I108" si="29">H66</f>
        <v>E</v>
      </c>
      <c r="I107" s="715" t="str">
        <f t="shared" si="29"/>
        <v>PVMV latentes nettes s/autres obligations</v>
      </c>
    </row>
    <row r="108" spans="1:9">
      <c r="A108" s="512">
        <f t="shared" si="13"/>
        <v>46023</v>
      </c>
      <c r="B108" s="509" t="str">
        <f t="shared" si="28"/>
        <v>OD</v>
      </c>
      <c r="C108" s="690">
        <v>65100000</v>
      </c>
      <c r="D108" s="509"/>
      <c r="E108" s="513" t="str">
        <f>+"Extourne valorisation au "&amp;TEXT(Sommaire!$C$1,"jj/mm/aaaa")</f>
        <v>Extourne valorisation au 31/12/2025</v>
      </c>
      <c r="F108" s="699">
        <f t="shared" si="15"/>
        <v>0</v>
      </c>
      <c r="G108" s="699">
        <f t="shared" si="16"/>
        <v>0</v>
      </c>
      <c r="H108" s="514" t="str">
        <f t="shared" si="29"/>
        <v>E</v>
      </c>
      <c r="I108" s="716" t="str">
        <f t="shared" si="29"/>
        <v>PVMV latentes nettes s/autres obligations</v>
      </c>
    </row>
    <row r="109" spans="1:9" ht="12" customHeight="1">
      <c r="A109" s="512"/>
      <c r="B109" s="509"/>
      <c r="D109" s="509"/>
      <c r="E109" s="513"/>
      <c r="F109" s="699"/>
      <c r="G109" s="699"/>
      <c r="H109" s="514"/>
      <c r="I109" s="717"/>
    </row>
    <row r="110" spans="1:9">
      <c r="A110" s="512">
        <f t="shared" si="13"/>
        <v>46023</v>
      </c>
      <c r="B110" s="509" t="str">
        <f t="shared" ref="B110:C111" si="30">B69</f>
        <v>OD</v>
      </c>
      <c r="C110" s="688">
        <f t="shared" si="30"/>
        <v>37600000</v>
      </c>
      <c r="E110" s="513" t="str">
        <f>+"Extourne valorisation au "&amp;TEXT(Sommaire!$C$1,"jj/mm/aaaa")</f>
        <v>Extourne valorisation au 31/12/2025</v>
      </c>
      <c r="F110" s="699">
        <f t="shared" si="15"/>
        <v>0</v>
      </c>
      <c r="G110" s="699">
        <f t="shared" si="16"/>
        <v>0</v>
      </c>
      <c r="H110" s="509" t="str">
        <f t="shared" ref="H110:I111" si="31">H69</f>
        <v>E</v>
      </c>
      <c r="I110" s="718" t="str">
        <f t="shared" si="31"/>
        <v>PVMV latentes nettes s/dépôt et autres investissements financiers</v>
      </c>
    </row>
    <row r="111" spans="1:9">
      <c r="A111" s="512">
        <f t="shared" si="13"/>
        <v>46023</v>
      </c>
      <c r="B111" s="509" t="str">
        <f t="shared" si="30"/>
        <v>OD</v>
      </c>
      <c r="C111" s="690">
        <v>65100000</v>
      </c>
      <c r="D111" s="691"/>
      <c r="E111" s="513" t="str">
        <f>+"Extourne valorisation au "&amp;TEXT(Sommaire!$C$1,"jj/mm/aaaa")</f>
        <v>Extourne valorisation au 31/12/2025</v>
      </c>
      <c r="F111" s="618">
        <f t="shared" si="15"/>
        <v>0</v>
      </c>
      <c r="G111" s="699">
        <f t="shared" si="16"/>
        <v>0</v>
      </c>
      <c r="H111" s="509" t="str">
        <f t="shared" si="31"/>
        <v>E</v>
      </c>
      <c r="I111" s="719" t="str">
        <f t="shared" si="31"/>
        <v>PVMV latentes nettes s/dépôt et autres investissements financiers</v>
      </c>
    </row>
    <row r="112" spans="1:9">
      <c r="A112" s="726"/>
      <c r="B112" s="693"/>
      <c r="C112" s="693"/>
      <c r="D112" s="694"/>
      <c r="E112" s="695"/>
      <c r="F112" s="696"/>
      <c r="G112" s="704"/>
      <c r="H112" s="693"/>
      <c r="I112" s="697"/>
    </row>
    <row r="113" spans="1:9">
      <c r="A113" s="512">
        <f t="shared" si="13"/>
        <v>46023</v>
      </c>
      <c r="B113" s="509" t="str">
        <f t="shared" ref="B113:C114" si="32">B72</f>
        <v>OD</v>
      </c>
      <c r="C113" s="688">
        <f t="shared" si="32"/>
        <v>37300000</v>
      </c>
      <c r="D113" s="691"/>
      <c r="E113" s="513" t="str">
        <f>+"Extourne valorisation au "&amp;TEXT(Sommaire!$C$1,"jj/mm/aaaa")</f>
        <v>Extourne valorisation au 31/12/2025</v>
      </c>
      <c r="F113" s="618">
        <f t="shared" si="15"/>
        <v>0</v>
      </c>
      <c r="G113" s="699">
        <f t="shared" si="16"/>
        <v>0</v>
      </c>
      <c r="H113" s="509" t="str">
        <f t="shared" ref="H113:I114" si="33">H72</f>
        <v>E</v>
      </c>
      <c r="I113" s="698" t="str">
        <f t="shared" si="33"/>
        <v>PVMV latentes nettes s/OPC</v>
      </c>
    </row>
    <row r="114" spans="1:9">
      <c r="A114" s="512">
        <f t="shared" si="13"/>
        <v>46023</v>
      </c>
      <c r="B114" s="509" t="str">
        <f t="shared" si="32"/>
        <v>OD</v>
      </c>
      <c r="C114" s="690">
        <v>65100000</v>
      </c>
      <c r="D114" s="691"/>
      <c r="E114" s="513" t="str">
        <f>+"Extourne valorisation au "&amp;TEXT(Sommaire!$C$1,"jj/mm/aaaa")</f>
        <v>Extourne valorisation au 31/12/2025</v>
      </c>
      <c r="F114" s="699">
        <f t="shared" si="15"/>
        <v>0</v>
      </c>
      <c r="G114" s="699">
        <f t="shared" si="16"/>
        <v>0</v>
      </c>
      <c r="H114" s="509" t="str">
        <f t="shared" si="33"/>
        <v>E</v>
      </c>
      <c r="I114" s="697" t="str">
        <f t="shared" si="33"/>
        <v>PVMV latentes nettes s/OPC</v>
      </c>
    </row>
    <row r="115" spans="1:9">
      <c r="A115" s="726"/>
      <c r="B115" s="693"/>
      <c r="C115" s="693"/>
      <c r="D115" s="694"/>
      <c r="E115" s="695"/>
      <c r="F115" s="704"/>
      <c r="G115" s="704"/>
      <c r="H115" s="693"/>
      <c r="I115" s="697"/>
    </row>
    <row r="116" spans="1:9">
      <c r="A116" s="535"/>
      <c r="B116" s="535"/>
      <c r="C116" s="535"/>
      <c r="D116" s="535"/>
      <c r="E116" s="535"/>
      <c r="F116" s="535"/>
      <c r="G116" s="535"/>
      <c r="H116" s="535"/>
      <c r="I116" s="535"/>
    </row>
    <row r="117" spans="1:9">
      <c r="A117" s="512">
        <f t="shared" si="13"/>
        <v>46023</v>
      </c>
      <c r="B117" s="509" t="str">
        <f t="shared" ref="B117:C118" si="34">B76</f>
        <v>OD</v>
      </c>
      <c r="C117" s="688">
        <f t="shared" si="34"/>
        <v>10410000</v>
      </c>
      <c r="E117" s="513" t="str">
        <f>+"Extourne valorisation au "&amp;TEXT(Sommaire!$C$1,"jj/mm/aaaa")</f>
        <v>Extourne valorisation au 31/12/2025</v>
      </c>
      <c r="F117" s="699">
        <f t="shared" si="15"/>
        <v>0</v>
      </c>
      <c r="G117" s="699">
        <f t="shared" si="16"/>
        <v>0</v>
      </c>
      <c r="H117" s="509" t="str">
        <f t="shared" ref="H117:I118" si="35">H76</f>
        <v>E</v>
      </c>
      <c r="I117" s="720" t="str">
        <f t="shared" si="35"/>
        <v>Fund reserve</v>
      </c>
    </row>
    <row r="118" spans="1:9">
      <c r="A118" s="512">
        <f t="shared" si="13"/>
        <v>46023</v>
      </c>
      <c r="B118" s="509" t="str">
        <f t="shared" si="34"/>
        <v>OD</v>
      </c>
      <c r="C118" s="688">
        <f t="shared" si="34"/>
        <v>48700000</v>
      </c>
      <c r="E118" s="513" t="str">
        <f>+"Extourne valorisation au "&amp;TEXT(Sommaire!$C$1,"jj/mm/aaaa")</f>
        <v>Extourne valorisation au 31/12/2025</v>
      </c>
      <c r="F118" s="699">
        <f t="shared" si="15"/>
        <v>0</v>
      </c>
      <c r="G118" s="699">
        <f t="shared" si="16"/>
        <v>0</v>
      </c>
      <c r="H118" s="509" t="str">
        <f t="shared" si="35"/>
        <v>E</v>
      </c>
      <c r="I118" s="720" t="str">
        <f t="shared" si="35"/>
        <v>Fund reserve</v>
      </c>
    </row>
    <row r="119" spans="1:9">
      <c r="A119" s="512"/>
      <c r="B119" s="509"/>
      <c r="E119" s="513"/>
      <c r="F119" s="135"/>
      <c r="G119" s="135"/>
      <c r="H119" s="514"/>
      <c r="I119" s="721"/>
    </row>
    <row r="120" spans="1:9">
      <c r="A120" s="512">
        <f t="shared" si="13"/>
        <v>46023</v>
      </c>
      <c r="B120" s="509" t="str">
        <f t="shared" ref="B120:C121" si="36">B79</f>
        <v>OD</v>
      </c>
      <c r="C120" s="688">
        <f t="shared" si="36"/>
        <v>39800000</v>
      </c>
      <c r="E120" s="513" t="str">
        <f>+"Extourne valorisation au "&amp;TEXT(Sommaire!$C$1,"jj/mm/aaaa")</f>
        <v>Extourne valorisation au 31/12/2025</v>
      </c>
      <c r="F120" s="135">
        <f t="shared" ref="F120:F121" si="37">G79</f>
        <v>0</v>
      </c>
      <c r="G120" s="135">
        <f t="shared" ref="G120:G121" si="38">F79</f>
        <v>0</v>
      </c>
      <c r="H120" s="514" t="str">
        <f t="shared" ref="H120:I121" si="39">H79</f>
        <v>E</v>
      </c>
      <c r="I120" s="721" t="str">
        <f t="shared" si="39"/>
        <v>Intérêts sur emprunts</v>
      </c>
    </row>
    <row r="121" spans="1:9">
      <c r="A121" s="512">
        <f t="shared" si="13"/>
        <v>46023</v>
      </c>
      <c r="B121" s="509" t="str">
        <f t="shared" si="36"/>
        <v>OD</v>
      </c>
      <c r="C121" s="688">
        <f t="shared" si="36"/>
        <v>60500000</v>
      </c>
      <c r="E121" s="513" t="str">
        <f>+"Extourne valorisation au "&amp;TEXT(Sommaire!$C$1,"jj/mm/aaaa")</f>
        <v>Extourne valorisation au 31/12/2025</v>
      </c>
      <c r="F121" s="135">
        <f t="shared" si="37"/>
        <v>0</v>
      </c>
      <c r="G121" s="135">
        <f t="shared" si="38"/>
        <v>0</v>
      </c>
      <c r="H121" s="514" t="str">
        <f t="shared" si="39"/>
        <v>E</v>
      </c>
      <c r="I121" s="721" t="str">
        <f t="shared" si="39"/>
        <v>Intérêts sur emprunts</v>
      </c>
    </row>
    <row r="122" spans="1:9">
      <c r="A122" s="512"/>
      <c r="B122" s="509"/>
      <c r="E122" s="513"/>
      <c r="F122" s="135"/>
      <c r="G122" s="135"/>
      <c r="H122" s="514"/>
      <c r="I122" s="721"/>
    </row>
    <row r="123" spans="1:9">
      <c r="A123" s="512"/>
      <c r="B123" s="509"/>
      <c r="E123" s="513"/>
      <c r="F123" s="135"/>
      <c r="G123" s="135"/>
      <c r="H123" s="514"/>
      <c r="I123" s="721"/>
    </row>
    <row r="124" spans="1:9">
      <c r="I124" s="515"/>
    </row>
    <row r="125" spans="1:9">
      <c r="A125" s="509"/>
      <c r="B125" s="509"/>
      <c r="C125" s="723"/>
      <c r="E125" s="260" t="str">
        <f>E84</f>
        <v>Contrôle</v>
      </c>
      <c r="F125" s="23">
        <f>SUM(F89:F124)</f>
        <v>3633212.33</v>
      </c>
      <c r="G125" s="23">
        <f>SUM(G89:G124)</f>
        <v>3633212.33</v>
      </c>
    </row>
    <row r="126" spans="1:9">
      <c r="A126" s="509"/>
      <c r="B126" s="509"/>
      <c r="E126" s="260" t="str">
        <f>E85</f>
        <v>écart</v>
      </c>
      <c r="F126" s="23">
        <f>F125-G125</f>
        <v>0</v>
      </c>
      <c r="H126" s="511" t="str">
        <f>H85</f>
        <v>ce contrôle toujours à zéro</v>
      </c>
    </row>
    <row r="127" spans="1:9">
      <c r="E127" s="260"/>
      <c r="G127" s="724" t="str">
        <f>IF(F126=0,"OK","ANOMALIE")</f>
        <v>OK</v>
      </c>
      <c r="I127" s="23"/>
    </row>
    <row r="128" spans="1:9">
      <c r="A128" s="728"/>
      <c r="B128" s="728"/>
      <c r="C128" s="512"/>
      <c r="D128" s="728"/>
      <c r="E128" s="728"/>
      <c r="F128" s="691"/>
      <c r="G128" s="691"/>
      <c r="H128" s="509"/>
    </row>
    <row r="129" spans="1:8">
      <c r="A129" s="728"/>
      <c r="B129" s="728"/>
      <c r="C129" s="512"/>
      <c r="D129" s="728"/>
      <c r="E129" s="728"/>
      <c r="F129" s="691"/>
      <c r="G129" s="691"/>
      <c r="H129" s="509"/>
    </row>
    <row r="130" spans="1:8">
      <c r="A130" s="728"/>
      <c r="B130" s="728"/>
      <c r="C130" s="512"/>
      <c r="D130" s="728"/>
      <c r="E130" s="728"/>
      <c r="F130" s="691"/>
      <c r="G130" s="691"/>
      <c r="H130" s="509"/>
    </row>
    <row r="131" spans="1:8">
      <c r="A131" s="728"/>
      <c r="B131" s="728"/>
      <c r="C131" s="688"/>
      <c r="D131" s="728"/>
      <c r="E131" s="728"/>
      <c r="F131" s="691"/>
      <c r="G131" s="691"/>
      <c r="H131" s="509"/>
    </row>
    <row r="132" spans="1:8">
      <c r="A132" s="728"/>
      <c r="B132" s="728"/>
      <c r="C132" s="688"/>
      <c r="D132" s="728"/>
      <c r="E132" s="728"/>
      <c r="F132" s="691"/>
      <c r="G132" s="691"/>
      <c r="H132" s="509"/>
    </row>
    <row r="133" spans="1:8">
      <c r="A133" s="728"/>
      <c r="B133" s="728"/>
      <c r="C133" s="688"/>
      <c r="D133" s="728"/>
      <c r="E133" s="728"/>
      <c r="F133" s="691"/>
      <c r="G133" s="691"/>
      <c r="H133" s="509"/>
    </row>
    <row r="134" spans="1:8">
      <c r="A134" s="728"/>
      <c r="B134" s="728"/>
      <c r="C134" s="688"/>
      <c r="D134" s="728"/>
      <c r="E134" s="728"/>
      <c r="F134" s="691"/>
      <c r="G134" s="691"/>
      <c r="H134" s="509"/>
    </row>
    <row r="135" spans="1:8">
      <c r="A135" s="728"/>
      <c r="B135" s="728"/>
      <c r="C135" s="688"/>
      <c r="D135" s="728"/>
      <c r="E135" s="728"/>
      <c r="F135" s="691"/>
      <c r="G135" s="691"/>
      <c r="H135" s="509"/>
    </row>
    <row r="136" spans="1:8">
      <c r="A136" s="728"/>
      <c r="B136" s="728"/>
      <c r="C136" s="688"/>
      <c r="D136" s="728"/>
      <c r="E136" s="728"/>
      <c r="F136" s="691"/>
      <c r="G136" s="691"/>
      <c r="H136" s="509"/>
    </row>
    <row r="137" spans="1:8">
      <c r="A137" s="728"/>
      <c r="B137" s="728"/>
      <c r="C137" s="688"/>
      <c r="D137" s="728"/>
      <c r="E137" s="728"/>
      <c r="F137" s="691"/>
      <c r="G137" s="691"/>
      <c r="H137" s="509"/>
    </row>
    <row r="138" spans="1:8">
      <c r="A138" s="728"/>
      <c r="B138" s="728"/>
      <c r="C138" s="688"/>
      <c r="D138" s="728"/>
      <c r="E138" s="728"/>
      <c r="F138" s="691"/>
      <c r="G138" s="691"/>
      <c r="H138" s="509"/>
    </row>
    <row r="139" spans="1:8">
      <c r="A139" s="728"/>
      <c r="B139" s="728"/>
      <c r="C139" s="688"/>
      <c r="D139" s="728"/>
      <c r="E139" s="728"/>
      <c r="F139" s="691"/>
      <c r="G139" s="691"/>
      <c r="H139" s="509"/>
    </row>
    <row r="140" spans="1:8">
      <c r="A140" s="728"/>
      <c r="B140" s="728"/>
      <c r="C140" s="688"/>
      <c r="D140" s="728"/>
      <c r="E140" s="728"/>
      <c r="F140" s="691"/>
      <c r="G140" s="691"/>
      <c r="H140" s="509"/>
    </row>
    <row r="141" spans="1:8">
      <c r="A141" s="728"/>
      <c r="B141" s="728"/>
      <c r="C141" s="688"/>
      <c r="D141" s="728"/>
      <c r="E141" s="728"/>
      <c r="F141" s="691"/>
      <c r="G141" s="691"/>
      <c r="H141" s="509"/>
    </row>
    <row r="142" spans="1:8">
      <c r="A142" s="728"/>
      <c r="B142" s="728"/>
      <c r="C142" s="688"/>
      <c r="D142" s="728"/>
      <c r="E142" s="728"/>
      <c r="F142" s="691"/>
      <c r="G142" s="691"/>
      <c r="H142" s="509"/>
    </row>
    <row r="143" spans="1:8">
      <c r="A143" s="728"/>
      <c r="B143" s="728"/>
      <c r="C143" s="688"/>
      <c r="D143" s="728"/>
      <c r="E143" s="728"/>
      <c r="F143" s="691"/>
      <c r="G143" s="691"/>
      <c r="H143" s="509"/>
    </row>
    <row r="144" spans="1:8">
      <c r="A144" s="728"/>
      <c r="B144" s="728"/>
      <c r="C144" s="688"/>
      <c r="D144" s="728"/>
      <c r="E144" s="728"/>
      <c r="F144" s="691"/>
      <c r="G144" s="691"/>
      <c r="H144" s="509"/>
    </row>
    <row r="145" spans="1:8">
      <c r="A145" s="728"/>
      <c r="B145" s="728"/>
      <c r="C145" s="688"/>
      <c r="D145" s="728"/>
      <c r="E145" s="728"/>
      <c r="F145" s="691"/>
      <c r="G145" s="691"/>
      <c r="H145" s="509"/>
    </row>
    <row r="146" spans="1:8">
      <c r="A146" s="728"/>
      <c r="B146" s="728"/>
      <c r="C146" s="688"/>
      <c r="D146" s="728"/>
      <c r="E146" s="728"/>
      <c r="F146" s="691"/>
      <c r="G146" s="691"/>
      <c r="H146" s="509"/>
    </row>
    <row r="147" spans="1:8">
      <c r="F147" s="727"/>
      <c r="G147" s="727"/>
    </row>
    <row r="148" spans="1:8">
      <c r="F148" s="727"/>
      <c r="G148" s="727"/>
    </row>
    <row r="149" spans="1:8">
      <c r="F149" s="727"/>
      <c r="G149" s="727"/>
    </row>
    <row r="150" spans="1:8">
      <c r="F150" s="727"/>
      <c r="G150" s="727"/>
    </row>
    <row r="151" spans="1:8">
      <c r="F151" s="727"/>
      <c r="G151" s="727"/>
    </row>
    <row r="152" spans="1:8">
      <c r="F152" s="727"/>
      <c r="G152" s="727"/>
    </row>
    <row r="153" spans="1:8">
      <c r="F153" s="727"/>
      <c r="G153" s="727"/>
    </row>
    <row r="154" spans="1:8">
      <c r="F154" s="727"/>
      <c r="G154" s="727"/>
    </row>
    <row r="155" spans="1:8">
      <c r="F155" s="727"/>
      <c r="G155" s="727"/>
    </row>
    <row r="156" spans="1:8">
      <c r="F156" s="727"/>
      <c r="G156" s="727"/>
    </row>
    <row r="157" spans="1:8">
      <c r="F157" s="727"/>
      <c r="G157" s="727"/>
    </row>
    <row r="158" spans="1:8">
      <c r="F158" s="727"/>
      <c r="G158" s="727"/>
    </row>
    <row r="159" spans="1:8">
      <c r="F159" s="727"/>
      <c r="G159" s="727"/>
    </row>
    <row r="160" spans="1:8">
      <c r="F160" s="727"/>
      <c r="G160" s="727"/>
    </row>
    <row r="161" spans="6:7">
      <c r="F161" s="727"/>
      <c r="G161" s="727"/>
    </row>
    <row r="162" spans="6:7">
      <c r="F162" s="727"/>
      <c r="G162" s="727"/>
    </row>
    <row r="163" spans="6:7">
      <c r="F163" s="727"/>
      <c r="G163" s="727"/>
    </row>
    <row r="164" spans="6:7">
      <c r="F164" s="727"/>
      <c r="G164" s="727"/>
    </row>
    <row r="165" spans="6:7">
      <c r="F165" s="727"/>
      <c r="G165" s="727"/>
    </row>
    <row r="166" spans="6:7">
      <c r="F166" s="727"/>
      <c r="G166" s="727"/>
    </row>
    <row r="167" spans="6:7">
      <c r="F167" s="727"/>
      <c r="G167" s="727"/>
    </row>
    <row r="168" spans="6:7">
      <c r="F168" s="727"/>
      <c r="G168" s="727"/>
    </row>
    <row r="169" spans="6:7">
      <c r="F169" s="727"/>
      <c r="G169" s="727"/>
    </row>
    <row r="170" spans="6:7">
      <c r="F170" s="727"/>
      <c r="G170" s="727"/>
    </row>
    <row r="171" spans="6:7">
      <c r="F171" s="727"/>
      <c r="G171" s="727"/>
    </row>
    <row r="172" spans="6:7">
      <c r="F172" s="727"/>
      <c r="G172" s="727"/>
    </row>
    <row r="173" spans="6:7">
      <c r="F173" s="727"/>
      <c r="G173" s="727"/>
    </row>
    <row r="174" spans="6:7">
      <c r="F174" s="727"/>
      <c r="G174" s="727"/>
    </row>
    <row r="175" spans="6:7">
      <c r="F175" s="727"/>
      <c r="G175" s="727"/>
    </row>
    <row r="176" spans="6:7">
      <c r="F176" s="727"/>
      <c r="G176" s="727"/>
    </row>
    <row r="177" spans="6:7">
      <c r="F177" s="727"/>
      <c r="G177" s="727"/>
    </row>
    <row r="178" spans="6:7">
      <c r="F178" s="727"/>
      <c r="G178" s="727"/>
    </row>
    <row r="179" spans="6:7">
      <c r="F179" s="727"/>
      <c r="G179" s="727"/>
    </row>
    <row r="180" spans="6:7">
      <c r="F180" s="727"/>
      <c r="G180" s="727"/>
    </row>
    <row r="181" spans="6:7">
      <c r="F181" s="727"/>
      <c r="G181" s="727"/>
    </row>
    <row r="182" spans="6:7">
      <c r="F182" s="727"/>
      <c r="G182" s="727"/>
    </row>
    <row r="183" spans="6:7">
      <c r="F183" s="727"/>
      <c r="G183" s="727"/>
    </row>
    <row r="184" spans="6:7">
      <c r="F184" s="727"/>
      <c r="G184" s="727"/>
    </row>
    <row r="185" spans="6:7">
      <c r="F185" s="727"/>
      <c r="G185" s="727"/>
    </row>
    <row r="186" spans="6:7">
      <c r="F186" s="727"/>
      <c r="G186" s="727"/>
    </row>
    <row r="187" spans="6:7">
      <c r="F187" s="727"/>
      <c r="G187" s="727"/>
    </row>
    <row r="188" spans="6:7">
      <c r="F188" s="727"/>
      <c r="G188" s="727"/>
    </row>
    <row r="189" spans="6:7">
      <c r="F189" s="727"/>
      <c r="G189" s="727"/>
    </row>
    <row r="190" spans="6:7">
      <c r="F190" s="727"/>
      <c r="G190" s="727"/>
    </row>
    <row r="191" spans="6:7">
      <c r="F191" s="727"/>
      <c r="G191" s="727"/>
    </row>
    <row r="192" spans="6:7">
      <c r="F192" s="727"/>
      <c r="G192" s="727"/>
    </row>
    <row r="193" spans="6:7">
      <c r="F193" s="727"/>
      <c r="G193" s="727"/>
    </row>
    <row r="194" spans="6:7">
      <c r="F194" s="727"/>
      <c r="G194" s="727"/>
    </row>
    <row r="195" spans="6:7">
      <c r="F195" s="727"/>
      <c r="G195" s="727"/>
    </row>
    <row r="196" spans="6:7">
      <c r="F196" s="727"/>
      <c r="G196" s="727"/>
    </row>
    <row r="197" spans="6:7">
      <c r="F197" s="727"/>
      <c r="G197" s="727"/>
    </row>
    <row r="198" spans="6:7">
      <c r="F198" s="727"/>
      <c r="G198" s="727"/>
    </row>
    <row r="199" spans="6:7">
      <c r="F199" s="727"/>
      <c r="G199" s="727"/>
    </row>
    <row r="200" spans="6:7">
      <c r="F200" s="727"/>
      <c r="G200" s="727"/>
    </row>
    <row r="201" spans="6:7">
      <c r="F201" s="727"/>
      <c r="G201" s="727"/>
    </row>
    <row r="202" spans="6:7">
      <c r="F202" s="727"/>
      <c r="G202" s="727"/>
    </row>
    <row r="203" spans="6:7">
      <c r="F203" s="727"/>
      <c r="G203" s="727"/>
    </row>
    <row r="204" spans="6:7">
      <c r="F204" s="727"/>
      <c r="G204" s="727"/>
    </row>
    <row r="205" spans="6:7">
      <c r="F205" s="727"/>
      <c r="G205" s="727"/>
    </row>
    <row r="206" spans="6:7">
      <c r="F206" s="727"/>
      <c r="G206" s="727"/>
    </row>
    <row r="207" spans="6:7">
      <c r="F207" s="727"/>
      <c r="G207" s="727"/>
    </row>
    <row r="208" spans="6:7">
      <c r="F208" s="727"/>
      <c r="G208" s="727"/>
    </row>
    <row r="209" spans="6:7">
      <c r="F209" s="727"/>
      <c r="G209" s="727"/>
    </row>
    <row r="210" spans="6:7">
      <c r="F210" s="727"/>
      <c r="G210" s="727"/>
    </row>
    <row r="211" spans="6:7">
      <c r="F211" s="727"/>
      <c r="G211" s="727"/>
    </row>
    <row r="212" spans="6:7">
      <c r="F212" s="727"/>
      <c r="G212" s="727"/>
    </row>
    <row r="213" spans="6:7">
      <c r="F213" s="727"/>
      <c r="G213" s="727"/>
    </row>
    <row r="214" spans="6:7">
      <c r="F214" s="727"/>
      <c r="G214" s="727"/>
    </row>
    <row r="215" spans="6:7">
      <c r="F215" s="727"/>
      <c r="G215" s="727"/>
    </row>
    <row r="216" spans="6:7">
      <c r="F216" s="727"/>
      <c r="G216" s="727"/>
    </row>
    <row r="217" spans="6:7">
      <c r="F217" s="727"/>
      <c r="G217" s="727"/>
    </row>
    <row r="218" spans="6:7">
      <c r="F218" s="727"/>
      <c r="G218" s="727"/>
    </row>
    <row r="219" spans="6:7">
      <c r="F219" s="727"/>
      <c r="G219" s="727"/>
    </row>
    <row r="220" spans="6:7">
      <c r="F220" s="727"/>
      <c r="G220" s="727"/>
    </row>
    <row r="221" spans="6:7">
      <c r="F221" s="727"/>
      <c r="G221" s="727"/>
    </row>
    <row r="222" spans="6:7">
      <c r="F222" s="727"/>
      <c r="G222" s="727"/>
    </row>
    <row r="223" spans="6:7">
      <c r="F223" s="727"/>
      <c r="G223" s="727"/>
    </row>
    <row r="224" spans="6:7">
      <c r="F224" s="727"/>
      <c r="G224" s="727"/>
    </row>
    <row r="225" spans="6:7">
      <c r="F225" s="727"/>
      <c r="G225" s="727"/>
    </row>
    <row r="226" spans="6:7">
      <c r="F226" s="727"/>
      <c r="G226" s="727"/>
    </row>
    <row r="227" spans="6:7">
      <c r="F227" s="727"/>
      <c r="G227" s="727"/>
    </row>
    <row r="228" spans="6:7">
      <c r="F228" s="727"/>
      <c r="G228" s="727"/>
    </row>
    <row r="229" spans="6:7">
      <c r="F229" s="727"/>
      <c r="G229" s="727"/>
    </row>
    <row r="230" spans="6:7">
      <c r="F230" s="727"/>
      <c r="G230" s="727"/>
    </row>
    <row r="231" spans="6:7">
      <c r="F231" s="727"/>
      <c r="G231" s="727"/>
    </row>
    <row r="232" spans="6:7">
      <c r="F232" s="727"/>
      <c r="G232" s="727"/>
    </row>
    <row r="233" spans="6:7">
      <c r="F233" s="727"/>
      <c r="G233" s="727"/>
    </row>
    <row r="234" spans="6:7">
      <c r="F234" s="727"/>
      <c r="G234" s="727"/>
    </row>
    <row r="235" spans="6:7">
      <c r="F235" s="727"/>
      <c r="G235" s="727"/>
    </row>
    <row r="236" spans="6:7">
      <c r="F236" s="727"/>
      <c r="G236" s="727"/>
    </row>
    <row r="237" spans="6:7">
      <c r="F237" s="727"/>
      <c r="G237" s="727"/>
    </row>
    <row r="238" spans="6:7">
      <c r="F238" s="727"/>
      <c r="G238" s="727"/>
    </row>
    <row r="239" spans="6:7">
      <c r="F239" s="727"/>
      <c r="G239" s="727"/>
    </row>
    <row r="240" spans="6:7">
      <c r="F240" s="727"/>
      <c r="G240" s="727"/>
    </row>
    <row r="241" spans="6:7">
      <c r="F241" s="727"/>
      <c r="G241" s="727"/>
    </row>
    <row r="242" spans="6:7">
      <c r="F242" s="727"/>
      <c r="G242" s="727"/>
    </row>
    <row r="243" spans="6:7">
      <c r="F243" s="727"/>
      <c r="G243" s="727"/>
    </row>
    <row r="244" spans="6:7">
      <c r="F244" s="727"/>
      <c r="G244" s="727"/>
    </row>
    <row r="245" spans="6:7">
      <c r="F245" s="727"/>
      <c r="G245" s="727"/>
    </row>
    <row r="246" spans="6:7">
      <c r="F246" s="727"/>
      <c r="G246" s="727"/>
    </row>
    <row r="247" spans="6:7">
      <c r="F247" s="727"/>
      <c r="G247" s="727"/>
    </row>
    <row r="248" spans="6:7">
      <c r="F248" s="727"/>
      <c r="G248" s="727"/>
    </row>
    <row r="249" spans="6:7">
      <c r="F249" s="727"/>
      <c r="G249" s="727"/>
    </row>
    <row r="250" spans="6:7">
      <c r="F250" s="727"/>
      <c r="G250" s="727"/>
    </row>
    <row r="251" spans="6:7">
      <c r="F251" s="727"/>
      <c r="G251" s="727"/>
    </row>
    <row r="252" spans="6:7">
      <c r="F252" s="727"/>
      <c r="G252" s="727"/>
    </row>
    <row r="253" spans="6:7">
      <c r="F253" s="727"/>
      <c r="G253" s="727"/>
    </row>
    <row r="254" spans="6:7">
      <c r="F254" s="727"/>
      <c r="G254" s="727"/>
    </row>
    <row r="255" spans="6:7">
      <c r="F255" s="727"/>
      <c r="G255" s="727"/>
    </row>
    <row r="256" spans="6:7">
      <c r="F256" s="727"/>
      <c r="G256" s="727"/>
    </row>
    <row r="257" spans="6:7">
      <c r="F257" s="727"/>
      <c r="G257" s="727"/>
    </row>
    <row r="258" spans="6:7">
      <c r="F258" s="727"/>
      <c r="G258" s="727"/>
    </row>
    <row r="259" spans="6:7">
      <c r="F259" s="727"/>
      <c r="G259" s="727"/>
    </row>
    <row r="260" spans="6:7">
      <c r="F260" s="727"/>
      <c r="G260" s="727"/>
    </row>
    <row r="261" spans="6:7">
      <c r="F261" s="727"/>
      <c r="G261" s="727"/>
    </row>
    <row r="262" spans="6:7">
      <c r="F262" s="727"/>
      <c r="G262" s="727"/>
    </row>
    <row r="263" spans="6:7">
      <c r="F263" s="727"/>
      <c r="G263" s="727"/>
    </row>
    <row r="264" spans="6:7">
      <c r="F264" s="727"/>
      <c r="G264" s="727"/>
    </row>
    <row r="265" spans="6:7">
      <c r="F265" s="727"/>
      <c r="G265" s="727"/>
    </row>
    <row r="266" spans="6:7">
      <c r="F266" s="727"/>
      <c r="G266" s="727"/>
    </row>
    <row r="267" spans="6:7">
      <c r="F267" s="727"/>
      <c r="G267" s="727"/>
    </row>
    <row r="268" spans="6:7">
      <c r="F268" s="727"/>
      <c r="G268" s="727"/>
    </row>
    <row r="269" spans="6:7">
      <c r="F269" s="727"/>
      <c r="G269" s="727"/>
    </row>
    <row r="270" spans="6:7">
      <c r="F270" s="727"/>
      <c r="G270" s="727"/>
    </row>
    <row r="271" spans="6:7">
      <c r="F271" s="727"/>
      <c r="G271" s="727"/>
    </row>
    <row r="272" spans="6:7">
      <c r="F272" s="727"/>
      <c r="G272" s="727"/>
    </row>
    <row r="273" spans="6:7">
      <c r="F273" s="727"/>
      <c r="G273" s="727"/>
    </row>
    <row r="274" spans="6:7">
      <c r="F274" s="727"/>
      <c r="G274" s="727"/>
    </row>
    <row r="275" spans="6:7">
      <c r="F275" s="727"/>
      <c r="G275" s="727"/>
    </row>
    <row r="276" spans="6:7">
      <c r="F276" s="727"/>
      <c r="G276" s="727"/>
    </row>
    <row r="277" spans="6:7">
      <c r="F277" s="727"/>
      <c r="G277" s="727"/>
    </row>
    <row r="278" spans="6:7">
      <c r="F278" s="727"/>
      <c r="G278" s="727"/>
    </row>
    <row r="279" spans="6:7">
      <c r="F279" s="727"/>
      <c r="G279" s="727"/>
    </row>
    <row r="280" spans="6:7">
      <c r="F280" s="727"/>
      <c r="G280" s="727"/>
    </row>
    <row r="281" spans="6:7">
      <c r="F281" s="727"/>
      <c r="G281" s="727"/>
    </row>
    <row r="282" spans="6:7">
      <c r="F282" s="727"/>
      <c r="G282" s="727"/>
    </row>
    <row r="283" spans="6:7">
      <c r="F283" s="727"/>
      <c r="G283" s="727"/>
    </row>
    <row r="284" spans="6:7">
      <c r="F284" s="727"/>
      <c r="G284" s="727"/>
    </row>
    <row r="285" spans="6:7">
      <c r="F285" s="727"/>
      <c r="G285" s="727"/>
    </row>
    <row r="286" spans="6:7">
      <c r="F286" s="727"/>
      <c r="G286" s="727"/>
    </row>
    <row r="287" spans="6:7">
      <c r="F287" s="727"/>
      <c r="G287" s="727"/>
    </row>
    <row r="288" spans="6:7">
      <c r="F288" s="727"/>
      <c r="G288" s="727"/>
    </row>
    <row r="289" spans="6:7">
      <c r="F289" s="727"/>
      <c r="G289" s="727"/>
    </row>
    <row r="290" spans="6:7">
      <c r="F290" s="727"/>
      <c r="G290" s="727"/>
    </row>
    <row r="291" spans="6:7">
      <c r="F291" s="727"/>
      <c r="G291" s="727"/>
    </row>
    <row r="292" spans="6:7">
      <c r="F292" s="727"/>
      <c r="G292" s="727"/>
    </row>
    <row r="293" spans="6:7">
      <c r="F293" s="727"/>
      <c r="G293" s="727"/>
    </row>
    <row r="294" spans="6:7">
      <c r="F294" s="727"/>
      <c r="G294" s="727"/>
    </row>
    <row r="295" spans="6:7">
      <c r="F295" s="727"/>
      <c r="G295" s="727"/>
    </row>
    <row r="296" spans="6:7">
      <c r="F296" s="727"/>
      <c r="G296" s="727"/>
    </row>
    <row r="297" spans="6:7">
      <c r="F297" s="727"/>
      <c r="G297" s="727"/>
    </row>
    <row r="298" spans="6:7">
      <c r="F298" s="727"/>
      <c r="G298" s="727"/>
    </row>
    <row r="299" spans="6:7">
      <c r="F299" s="727"/>
      <c r="G299" s="727"/>
    </row>
    <row r="300" spans="6:7">
      <c r="F300" s="727"/>
      <c r="G300" s="727"/>
    </row>
    <row r="301" spans="6:7">
      <c r="F301" s="727"/>
      <c r="G301" s="727"/>
    </row>
    <row r="302" spans="6:7">
      <c r="F302" s="727"/>
      <c r="G302" s="727"/>
    </row>
    <row r="303" spans="6:7">
      <c r="F303" s="727"/>
      <c r="G303" s="727"/>
    </row>
    <row r="304" spans="6:7">
      <c r="F304" s="727"/>
      <c r="G304" s="727"/>
    </row>
    <row r="305" spans="6:7">
      <c r="F305" s="727"/>
      <c r="G305" s="727"/>
    </row>
    <row r="306" spans="6:7">
      <c r="F306" s="727"/>
      <c r="G306" s="727"/>
    </row>
    <row r="307" spans="6:7">
      <c r="F307" s="727"/>
      <c r="G307" s="727"/>
    </row>
    <row r="308" spans="6:7">
      <c r="F308" s="727"/>
      <c r="G308" s="727"/>
    </row>
    <row r="309" spans="6:7">
      <c r="F309" s="727"/>
      <c r="G309" s="727"/>
    </row>
    <row r="310" spans="6:7">
      <c r="F310" s="727"/>
      <c r="G310" s="727"/>
    </row>
    <row r="311" spans="6:7">
      <c r="F311" s="727"/>
      <c r="G311" s="727"/>
    </row>
    <row r="312" spans="6:7">
      <c r="F312" s="727"/>
      <c r="G312" s="727"/>
    </row>
    <row r="313" spans="6:7">
      <c r="F313" s="727"/>
      <c r="G313" s="727"/>
    </row>
    <row r="314" spans="6:7">
      <c r="F314" s="727"/>
      <c r="G314" s="727"/>
    </row>
    <row r="315" spans="6:7">
      <c r="F315" s="727"/>
      <c r="G315" s="727"/>
    </row>
    <row r="316" spans="6:7">
      <c r="F316" s="727"/>
      <c r="G316" s="727"/>
    </row>
    <row r="317" spans="6:7">
      <c r="F317" s="727"/>
      <c r="G317" s="727"/>
    </row>
    <row r="318" spans="6:7">
      <c r="F318" s="727"/>
      <c r="G318" s="727"/>
    </row>
    <row r="319" spans="6:7">
      <c r="F319" s="727"/>
      <c r="G319" s="727"/>
    </row>
    <row r="320" spans="6:7">
      <c r="F320" s="727"/>
      <c r="G320" s="727"/>
    </row>
    <row r="321" spans="6:7">
      <c r="F321" s="727"/>
      <c r="G321" s="727"/>
    </row>
    <row r="322" spans="6:7">
      <c r="F322" s="727"/>
      <c r="G322" s="727"/>
    </row>
    <row r="323" spans="6:7">
      <c r="F323" s="727"/>
      <c r="G323" s="727"/>
    </row>
    <row r="324" spans="6:7">
      <c r="F324" s="727"/>
      <c r="G324" s="727"/>
    </row>
    <row r="325" spans="6:7">
      <c r="F325" s="727"/>
      <c r="G325" s="727"/>
    </row>
    <row r="326" spans="6:7">
      <c r="F326" s="727"/>
      <c r="G326" s="727"/>
    </row>
    <row r="327" spans="6:7">
      <c r="F327" s="727"/>
      <c r="G327" s="727"/>
    </row>
    <row r="328" spans="6:7">
      <c r="F328" s="727"/>
      <c r="G328" s="727"/>
    </row>
    <row r="329" spans="6:7">
      <c r="F329" s="727"/>
      <c r="G329" s="727"/>
    </row>
    <row r="330" spans="6:7">
      <c r="F330" s="727"/>
      <c r="G330" s="727"/>
    </row>
    <row r="331" spans="6:7">
      <c r="F331" s="727"/>
      <c r="G331" s="727"/>
    </row>
    <row r="332" spans="6:7">
      <c r="F332" s="727"/>
      <c r="G332" s="727"/>
    </row>
    <row r="333" spans="6:7">
      <c r="F333" s="727"/>
      <c r="G333" s="727"/>
    </row>
    <row r="334" spans="6:7">
      <c r="F334" s="727"/>
      <c r="G334" s="727"/>
    </row>
    <row r="335" spans="6:7">
      <c r="F335" s="727"/>
      <c r="G335" s="727"/>
    </row>
  </sheetData>
  <autoFilter ref="C1:I34" xr:uid="{E2311DCC-7B14-451B-8AD7-16A46C155C89}"/>
  <mergeCells count="2">
    <mergeCell ref="A47:H47"/>
    <mergeCell ref="A88:H88"/>
  </mergeCells>
  <conditionalFormatting sqref="C2:C31 C33:C34">
    <cfRule type="containsText" dxfId="6" priority="7" operator="containsText" text="755">
      <formula>NOT(ISERROR(SEARCH("755",C2)))</formula>
    </cfRule>
  </conditionalFormatting>
  <conditionalFormatting sqref="C36:C37">
    <cfRule type="containsText" dxfId="5" priority="3" operator="containsText" text="755">
      <formula>NOT(ISERROR(SEARCH("755",C36)))</formula>
    </cfRule>
  </conditionalFormatting>
  <conditionalFormatting sqref="C48:C74 C76:C77">
    <cfRule type="containsText" dxfId="4" priority="6" operator="containsText" text="755">
      <formula>NOT(ISERROR(SEARCH("755",C48)))</formula>
    </cfRule>
  </conditionalFormatting>
  <conditionalFormatting sqref="C79:C80">
    <cfRule type="containsText" dxfId="3" priority="2" operator="containsText" text="755">
      <formula>NOT(ISERROR(SEARCH("755",C79)))</formula>
    </cfRule>
  </conditionalFormatting>
  <conditionalFormatting sqref="C89:C114">
    <cfRule type="containsText" dxfId="2" priority="4" operator="containsText" text="651">
      <formula>NOT(ISERROR(SEARCH("651",C89)))</formula>
    </cfRule>
  </conditionalFormatting>
  <conditionalFormatting sqref="C89:C115 C117:C118">
    <cfRule type="containsText" dxfId="1" priority="5" operator="containsText" text="755">
      <formula>NOT(ISERROR(SEARCH("755",C89)))</formula>
    </cfRule>
  </conditionalFormatting>
  <conditionalFormatting sqref="C120:C121">
    <cfRule type="containsText" dxfId="0" priority="1" operator="containsText" text="755">
      <formula>NOT(ISERROR(SEARCH("755",C120)))</formula>
    </cfRule>
  </conditionalFormatting>
  <pageMargins left="0.78740157499999996" right="0.78740157499999996" top="0.984251969" bottom="0.984251969" header="0.4921259845" footer="0.4921259845"/>
  <pageSetup paperSize="9" scale="43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4">
    <pageSetUpPr fitToPage="1"/>
  </sheetPr>
  <dimension ref="B1:K29"/>
  <sheetViews>
    <sheetView view="pageBreakPreview" zoomScaleNormal="100" zoomScaleSheetLayoutView="100" workbookViewId="0">
      <selection activeCell="F29" sqref="F29"/>
    </sheetView>
  </sheetViews>
  <sheetFormatPr defaultColWidth="11.42578125" defaultRowHeight="12.75"/>
  <cols>
    <col min="1" max="1" width="1.140625" style="39" customWidth="1"/>
    <col min="2" max="2" width="22.85546875" style="39" bestFit="1" customWidth="1"/>
    <col min="3" max="3" width="17.85546875" style="135" customWidth="1"/>
    <col min="4" max="4" width="17.85546875" style="39" customWidth="1"/>
    <col min="5" max="5" width="11" style="39" customWidth="1"/>
    <col min="6" max="6" width="15.5703125" style="135" bestFit="1" customWidth="1"/>
    <col min="7" max="7" width="17.85546875" style="39" customWidth="1"/>
    <col min="8" max="8" width="11.5703125" style="39" bestFit="1" customWidth="1"/>
    <col min="9" max="9" width="16.140625" style="39" customWidth="1"/>
    <col min="10" max="10" width="31.5703125" style="39" customWidth="1"/>
    <col min="11" max="11" width="1.140625" style="39" customWidth="1"/>
    <col min="12" max="16384" width="11.42578125" style="39"/>
  </cols>
  <sheetData>
    <row r="1" spans="2:11">
      <c r="B1" s="1" t="str">
        <f>Inventaire!B1</f>
        <v>SANCY - SLP</v>
      </c>
      <c r="E1" s="1" t="s">
        <v>146</v>
      </c>
      <c r="J1" s="136">
        <f>Sommaire!C1</f>
        <v>46022</v>
      </c>
    </row>
    <row r="4" spans="2:11">
      <c r="B4" s="1060" t="s">
        <v>147</v>
      </c>
      <c r="C4" s="1061" t="s">
        <v>148</v>
      </c>
      <c r="D4" s="1062" t="s">
        <v>148</v>
      </c>
      <c r="E4" s="177" t="s">
        <v>111</v>
      </c>
      <c r="F4" s="1061" t="s">
        <v>72</v>
      </c>
      <c r="G4" s="1062" t="s">
        <v>59</v>
      </c>
      <c r="H4" s="1063" t="s">
        <v>149</v>
      </c>
      <c r="I4" s="1061" t="s">
        <v>72</v>
      </c>
      <c r="J4" s="1062" t="s">
        <v>150</v>
      </c>
      <c r="K4" s="98"/>
    </row>
    <row r="5" spans="2:11">
      <c r="B5" s="1064" t="s">
        <v>151</v>
      </c>
      <c r="C5" s="964" t="s">
        <v>152</v>
      </c>
      <c r="D5" s="922" t="s">
        <v>153</v>
      </c>
      <c r="E5" s="640" t="s">
        <v>154</v>
      </c>
      <c r="F5" s="964" t="s">
        <v>155</v>
      </c>
      <c r="G5" s="922" t="s">
        <v>156</v>
      </c>
      <c r="H5" s="985"/>
      <c r="I5" s="922" t="s">
        <v>156</v>
      </c>
      <c r="J5" s="922"/>
      <c r="K5" s="98"/>
    </row>
    <row r="6" spans="2:11" s="129" customFormat="1">
      <c r="B6" s="838"/>
      <c r="C6" s="746"/>
      <c r="D6" s="841"/>
      <c r="E6" s="842"/>
      <c r="F6" s="843"/>
      <c r="G6" s="841"/>
      <c r="H6" s="842"/>
      <c r="I6" s="844"/>
      <c r="J6" s="620"/>
    </row>
    <row r="7" spans="2:11" s="129" customFormat="1">
      <c r="B7" s="845" t="str">
        <f>Inventaire!C16</f>
        <v>Heka Invest - Actions</v>
      </c>
      <c r="C7" s="846">
        <f>Inventaire!D16</f>
        <v>14423076</v>
      </c>
      <c r="D7" s="847">
        <v>14423076</v>
      </c>
      <c r="E7" s="842">
        <v>45657</v>
      </c>
      <c r="F7" s="848">
        <f>C7-D7</f>
        <v>0</v>
      </c>
      <c r="G7" s="847">
        <v>14423076</v>
      </c>
      <c r="H7" s="842">
        <v>46022</v>
      </c>
      <c r="I7" s="848">
        <f>C7-G7</f>
        <v>0</v>
      </c>
      <c r="J7" s="620"/>
    </row>
    <row r="8" spans="2:11" s="129" customFormat="1">
      <c r="B8" s="845"/>
      <c r="C8" s="846"/>
      <c r="D8" s="847"/>
      <c r="E8" s="842"/>
      <c r="F8" s="848">
        <f t="shared" ref="F8:F11" si="0">C8-D8</f>
        <v>0</v>
      </c>
      <c r="G8" s="847"/>
      <c r="H8" s="842"/>
      <c r="I8" s="848">
        <f t="shared" ref="I8:I11" si="1">C8-G8</f>
        <v>0</v>
      </c>
      <c r="J8" s="620"/>
    </row>
    <row r="9" spans="2:11" s="129" customFormat="1">
      <c r="B9" s="845"/>
      <c r="C9" s="846"/>
      <c r="D9" s="847"/>
      <c r="E9" s="842"/>
      <c r="F9" s="848">
        <f t="shared" si="0"/>
        <v>0</v>
      </c>
      <c r="G9" s="847"/>
      <c r="H9" s="842"/>
      <c r="I9" s="848">
        <f t="shared" si="1"/>
        <v>0</v>
      </c>
      <c r="J9" s="620"/>
    </row>
    <row r="10" spans="2:11" s="129" customFormat="1">
      <c r="B10" s="845"/>
      <c r="C10" s="846"/>
      <c r="D10" s="849"/>
      <c r="E10" s="842"/>
      <c r="F10" s="848">
        <f t="shared" si="0"/>
        <v>0</v>
      </c>
      <c r="G10" s="847"/>
      <c r="H10" s="842"/>
      <c r="I10" s="848">
        <f t="shared" si="1"/>
        <v>0</v>
      </c>
      <c r="J10" s="620"/>
    </row>
    <row r="11" spans="2:11" s="129" customFormat="1">
      <c r="B11" s="845"/>
      <c r="C11" s="846"/>
      <c r="D11" s="847"/>
      <c r="E11" s="842"/>
      <c r="F11" s="848">
        <f t="shared" si="0"/>
        <v>0</v>
      </c>
      <c r="G11" s="847"/>
      <c r="H11" s="842"/>
      <c r="I11" s="848">
        <f t="shared" si="1"/>
        <v>0</v>
      </c>
      <c r="J11" s="620"/>
    </row>
    <row r="12" spans="2:11">
      <c r="B12" s="965"/>
      <c r="C12" s="1065">
        <f>SUM(C6:C11)</f>
        <v>14423076</v>
      </c>
      <c r="D12" s="1065">
        <f>SUM(D6:D11)</f>
        <v>14423076</v>
      </c>
      <c r="E12" s="1066"/>
      <c r="F12" s="1065">
        <f>SUM(F6:F11)</f>
        <v>0</v>
      </c>
      <c r="G12" s="1065">
        <f>SUM(G6:G11)</f>
        <v>14423076</v>
      </c>
      <c r="H12" s="1066"/>
      <c r="I12" s="1067">
        <f>SUM(I6:I11)</f>
        <v>0</v>
      </c>
      <c r="J12" s="1068"/>
    </row>
    <row r="13" spans="2:11">
      <c r="F13" s="137" t="str">
        <f>IF(ABS(F12)&lt;0.01,"","Anomalie AIC")</f>
        <v/>
      </c>
      <c r="G13" s="138"/>
      <c r="H13" s="138"/>
      <c r="I13" s="144" t="str">
        <f>IF(ABS(I12)&lt;0.01,"","Anomalie dépositaire")</f>
        <v/>
      </c>
    </row>
    <row r="14" spans="2:11">
      <c r="D14" s="110"/>
    </row>
    <row r="15" spans="2:11">
      <c r="E15" s="1069"/>
      <c r="F15" s="986" t="s">
        <v>157</v>
      </c>
      <c r="G15" s="986"/>
      <c r="H15" s="986"/>
      <c r="I15" s="201"/>
    </row>
    <row r="16" spans="2:11">
      <c r="E16" s="254" t="s">
        <v>140</v>
      </c>
      <c r="F16" s="139">
        <f>C12-D12</f>
        <v>0</v>
      </c>
      <c r="G16" s="138"/>
      <c r="H16" s="39" t="s">
        <v>140</v>
      </c>
      <c r="I16" s="199">
        <f>C12-G12</f>
        <v>0</v>
      </c>
    </row>
    <row r="17" spans="2:9">
      <c r="B17" s="39" t="s">
        <v>158</v>
      </c>
      <c r="C17" s="140" t="s">
        <v>159</v>
      </c>
      <c r="E17" s="254" t="s">
        <v>72</v>
      </c>
      <c r="F17" s="179">
        <f>F12-F16</f>
        <v>0</v>
      </c>
      <c r="G17" s="141"/>
      <c r="H17" s="39" t="s">
        <v>72</v>
      </c>
      <c r="I17" s="202">
        <f>I12-I16</f>
        <v>0</v>
      </c>
    </row>
    <row r="18" spans="2:9">
      <c r="B18" s="39" t="s">
        <v>160</v>
      </c>
      <c r="C18" s="142">
        <f>COUNT(C7:C11)</f>
        <v>1</v>
      </c>
      <c r="E18" s="1070"/>
      <c r="F18" s="641" t="str">
        <f>IF(ABS(F17)&gt;0.01,"ANOMALIE","OK")</f>
        <v>OK</v>
      </c>
      <c r="G18" s="642"/>
      <c r="H18" s="642"/>
      <c r="I18" s="1071" t="str">
        <f>IF(ABS(I17)&gt;0.01,"ANOMALIE","OK")</f>
        <v>OK</v>
      </c>
    </row>
    <row r="19" spans="2:9">
      <c r="B19" s="39" t="s">
        <v>152</v>
      </c>
      <c r="C19" s="142">
        <f>COUNT(Inventaire!G15:G22)</f>
        <v>1</v>
      </c>
    </row>
    <row r="20" spans="2:9">
      <c r="C20" s="143" t="str">
        <f>IF(C18-C19&lt;&gt;0,"Rapprochement titres incomplet","OK")</f>
        <v>OK</v>
      </c>
      <c r="E20" s="1" t="s">
        <v>161</v>
      </c>
    </row>
    <row r="21" spans="2:9">
      <c r="C21" s="143"/>
    </row>
    <row r="23" spans="2:9">
      <c r="B23" s="1072" t="s">
        <v>162</v>
      </c>
      <c r="C23" s="1073" t="s">
        <v>148</v>
      </c>
      <c r="D23" s="1072" t="s">
        <v>148</v>
      </c>
      <c r="E23" s="1074" t="s">
        <v>111</v>
      </c>
      <c r="F23" s="1073" t="s">
        <v>163</v>
      </c>
      <c r="G23" s="1074" t="s">
        <v>150</v>
      </c>
    </row>
    <row r="24" spans="2:9">
      <c r="B24" s="1075" t="s">
        <v>164</v>
      </c>
      <c r="C24" s="966" t="s">
        <v>165</v>
      </c>
      <c r="D24" s="643" t="s">
        <v>166</v>
      </c>
      <c r="E24" s="967" t="s">
        <v>154</v>
      </c>
      <c r="F24" s="966"/>
      <c r="G24" s="967"/>
    </row>
    <row r="25" spans="2:9">
      <c r="B25" s="850"/>
      <c r="C25" s="851"/>
      <c r="D25" s="852"/>
      <c r="E25" s="853"/>
      <c r="F25" s="751"/>
      <c r="G25" s="854"/>
    </row>
    <row r="26" spans="2:9">
      <c r="B26" s="845" t="str">
        <f>+'Calcul VL'!B9</f>
        <v>Parts A</v>
      </c>
      <c r="C26" s="843">
        <f>+'Calcul VL'!C9</f>
        <v>15379.56</v>
      </c>
      <c r="D26" s="855">
        <v>15379.56</v>
      </c>
      <c r="E26" s="853">
        <v>46022</v>
      </c>
      <c r="F26" s="856">
        <f>C26-D26</f>
        <v>0</v>
      </c>
      <c r="G26" s="857"/>
    </row>
    <row r="27" spans="2:9">
      <c r="B27" s="845" t="str">
        <f>+'Calcul VL'!B10</f>
        <v>Part de commandité</v>
      </c>
      <c r="C27" s="843">
        <f>+'Calcul VL'!C10</f>
        <v>1</v>
      </c>
      <c r="D27" s="855">
        <v>1</v>
      </c>
      <c r="E27" s="853">
        <v>46022</v>
      </c>
      <c r="F27" s="856">
        <f>C27-D27</f>
        <v>0</v>
      </c>
      <c r="G27" s="857"/>
    </row>
    <row r="28" spans="2:9">
      <c r="B28" s="845"/>
      <c r="C28" s="851"/>
      <c r="D28" s="858"/>
      <c r="E28" s="859"/>
      <c r="F28" s="860"/>
      <c r="G28" s="857"/>
    </row>
    <row r="29" spans="2:9">
      <c r="B29" s="965"/>
      <c r="C29" s="1065">
        <f>SUM(C26:C28)</f>
        <v>15380.56</v>
      </c>
      <c r="D29" s="1065">
        <f>SUM(D26:D28)</f>
        <v>15380.56</v>
      </c>
      <c r="E29" s="1066"/>
      <c r="F29" s="1065">
        <f>SUM(F26:F28)</f>
        <v>0</v>
      </c>
      <c r="G29" s="1065"/>
    </row>
  </sheetData>
  <mergeCells count="2">
    <mergeCell ref="H4:H5"/>
    <mergeCell ref="F15:H15"/>
  </mergeCells>
  <phoneticPr fontId="15" type="noConversion"/>
  <pageMargins left="0.78740157499999996" right="0.78740157499999996" top="0.984251969" bottom="0.984251969" header="0.4921259845" footer="0.4921259845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view="pageBreakPreview" zoomScaleNormal="100" zoomScaleSheetLayoutView="100" workbookViewId="0">
      <selection activeCell="D1" sqref="D1"/>
    </sheetView>
  </sheetViews>
  <sheetFormatPr defaultColWidth="11.42578125" defaultRowHeight="12.75"/>
  <cols>
    <col min="1" max="1" width="2.85546875" style="49" customWidth="1"/>
    <col min="2" max="2" width="43" style="49" customWidth="1"/>
    <col min="3" max="3" width="28.85546875" style="49" customWidth="1"/>
    <col min="4" max="4" width="26.140625" style="49" customWidth="1"/>
    <col min="5" max="5" width="26.85546875" style="49" customWidth="1"/>
    <col min="6" max="7" width="13.85546875" style="49" hidden="1" customWidth="1"/>
    <col min="8" max="10" width="12.85546875" style="49" hidden="1" customWidth="1"/>
    <col min="11" max="11" width="6" style="49" customWidth="1"/>
    <col min="12" max="12" width="11.42578125" style="49"/>
    <col min="13" max="13" width="20.85546875" style="49" customWidth="1"/>
    <col min="14" max="14" width="15.42578125" style="49" customWidth="1"/>
    <col min="15" max="16384" width="11.42578125" style="49"/>
  </cols>
  <sheetData>
    <row r="1" spans="1:10" s="87" customFormat="1" ht="15">
      <c r="B1" s="88" t="str">
        <f>'Calcul VL'!B1</f>
        <v>SANCY - SLP</v>
      </c>
      <c r="C1" s="89" t="s">
        <v>167</v>
      </c>
      <c r="D1" s="90">
        <f>Sommaire!C1</f>
        <v>46022</v>
      </c>
    </row>
    <row r="2" spans="1:10">
      <c r="C2" s="51"/>
      <c r="D2" s="52"/>
    </row>
    <row r="3" spans="1:10">
      <c r="C3" s="51"/>
      <c r="D3" s="52"/>
    </row>
    <row r="5" spans="1:10">
      <c r="A5" s="1076"/>
      <c r="B5" s="178"/>
      <c r="C5" s="178"/>
      <c r="D5" s="1077" t="s">
        <v>168</v>
      </c>
      <c r="E5" s="1077" t="s">
        <v>169</v>
      </c>
      <c r="F5" s="1078" t="s">
        <v>168</v>
      </c>
      <c r="G5" s="1078" t="s">
        <v>168</v>
      </c>
      <c r="H5" s="1078" t="s">
        <v>168</v>
      </c>
      <c r="I5" s="1079" t="s">
        <v>168</v>
      </c>
      <c r="J5" s="1079" t="s">
        <v>168</v>
      </c>
    </row>
    <row r="6" spans="1:10">
      <c r="A6" s="1080"/>
      <c r="B6" s="626" t="s">
        <v>170</v>
      </c>
      <c r="C6" s="1081"/>
      <c r="D6" s="968">
        <f>+D1</f>
        <v>46022</v>
      </c>
      <c r="E6" s="969">
        <v>45657</v>
      </c>
      <c r="F6" s="1082">
        <v>39447</v>
      </c>
      <c r="G6" s="1082">
        <v>39082</v>
      </c>
      <c r="H6" s="1082">
        <v>38717</v>
      </c>
      <c r="I6" s="968">
        <v>38352</v>
      </c>
      <c r="J6" s="968">
        <v>37986</v>
      </c>
    </row>
    <row r="7" spans="1:10">
      <c r="A7" s="861"/>
      <c r="B7" s="268"/>
      <c r="C7" s="268"/>
      <c r="D7" s="1083"/>
      <c r="E7" s="1083"/>
      <c r="F7" s="861"/>
      <c r="G7" s="861"/>
      <c r="H7" s="861"/>
      <c r="I7" s="862"/>
      <c r="J7" s="862"/>
    </row>
    <row r="8" spans="1:10">
      <c r="A8" s="863"/>
      <c r="B8" s="276" t="s">
        <v>171</v>
      </c>
      <c r="C8" s="276"/>
      <c r="D8" s="864">
        <f>E34</f>
        <v>0</v>
      </c>
      <c r="E8" s="865">
        <v>0</v>
      </c>
      <c r="F8" s="187"/>
      <c r="G8" s="187"/>
      <c r="H8" s="187"/>
      <c r="I8" s="862"/>
      <c r="J8" s="862"/>
    </row>
    <row r="9" spans="1:10">
      <c r="A9" s="863"/>
      <c r="B9" s="268" t="s">
        <v>172</v>
      </c>
      <c r="C9" s="276"/>
      <c r="D9" s="866"/>
      <c r="E9" s="862"/>
      <c r="F9" s="187"/>
      <c r="G9" s="187"/>
      <c r="H9" s="187"/>
      <c r="I9" s="862"/>
      <c r="J9" s="862"/>
    </row>
    <row r="10" spans="1:10">
      <c r="A10" s="863"/>
      <c r="B10" s="268"/>
      <c r="C10" s="268"/>
      <c r="D10" s="866"/>
      <c r="E10" s="862"/>
      <c r="F10" s="187"/>
      <c r="G10" s="187"/>
      <c r="H10" s="187"/>
      <c r="I10" s="862"/>
      <c r="J10" s="862"/>
    </row>
    <row r="11" spans="1:10">
      <c r="A11" s="863"/>
      <c r="B11" s="276" t="s">
        <v>173</v>
      </c>
      <c r="C11" s="276"/>
      <c r="D11" s="867">
        <f>D34</f>
        <v>0</v>
      </c>
      <c r="E11" s="868">
        <v>0</v>
      </c>
      <c r="F11" s="188"/>
      <c r="G11" s="188"/>
      <c r="H11" s="188"/>
      <c r="I11" s="862"/>
      <c r="J11" s="862"/>
    </row>
    <row r="12" spans="1:10">
      <c r="A12" s="861"/>
      <c r="B12" s="268" t="s">
        <v>174</v>
      </c>
      <c r="C12" s="268"/>
      <c r="D12" s="867"/>
      <c r="E12" s="868"/>
      <c r="F12" s="188"/>
      <c r="G12" s="188"/>
      <c r="H12" s="188"/>
      <c r="I12" s="188"/>
      <c r="J12" s="188"/>
    </row>
    <row r="13" spans="1:10">
      <c r="A13" s="861"/>
      <c r="B13" s="268"/>
      <c r="C13" s="268"/>
      <c r="D13" s="866"/>
      <c r="E13" s="862"/>
      <c r="F13" s="187"/>
      <c r="G13" s="187"/>
      <c r="H13" s="187"/>
      <c r="I13" s="862"/>
      <c r="J13" s="862"/>
    </row>
    <row r="14" spans="1:10">
      <c r="A14" s="861"/>
      <c r="B14" s="617" t="s">
        <v>175</v>
      </c>
      <c r="C14" s="617"/>
      <c r="D14" s="867">
        <f>E38</f>
        <v>0</v>
      </c>
      <c r="E14" s="865">
        <v>0</v>
      </c>
      <c r="F14" s="187"/>
      <c r="G14" s="187"/>
      <c r="H14" s="187"/>
      <c r="I14" s="862"/>
      <c r="J14" s="862"/>
    </row>
    <row r="15" spans="1:10">
      <c r="A15" s="861"/>
      <c r="B15" s="268"/>
      <c r="C15" s="268"/>
      <c r="D15" s="866"/>
      <c r="E15" s="862"/>
      <c r="F15" s="187"/>
      <c r="G15" s="187"/>
      <c r="H15" s="187"/>
      <c r="I15" s="862"/>
      <c r="J15" s="862"/>
    </row>
    <row r="16" spans="1:10">
      <c r="A16" s="861"/>
      <c r="B16" s="617" t="s">
        <v>176</v>
      </c>
      <c r="C16" s="268"/>
      <c r="D16" s="867">
        <f>D38</f>
        <v>0</v>
      </c>
      <c r="E16" s="865">
        <v>0</v>
      </c>
      <c r="F16" s="187"/>
      <c r="G16" s="187"/>
      <c r="H16" s="187"/>
      <c r="I16" s="862"/>
      <c r="J16" s="862"/>
    </row>
    <row r="17" spans="1:10">
      <c r="A17" s="863"/>
      <c r="B17" s="268"/>
      <c r="C17" s="268"/>
      <c r="D17" s="867"/>
      <c r="E17" s="865"/>
      <c r="F17" s="187"/>
      <c r="G17" s="187"/>
      <c r="H17" s="187"/>
      <c r="I17" s="862"/>
      <c r="J17" s="862"/>
    </row>
    <row r="18" spans="1:10">
      <c r="A18" s="869"/>
      <c r="B18" s="276" t="s">
        <v>177</v>
      </c>
      <c r="C18" s="268"/>
      <c r="D18" s="866"/>
      <c r="E18" s="862"/>
      <c r="F18" s="187"/>
      <c r="G18" s="187"/>
      <c r="H18" s="187"/>
      <c r="I18" s="862"/>
      <c r="J18" s="862"/>
    </row>
    <row r="19" spans="1:10">
      <c r="A19" s="861"/>
      <c r="B19" s="268"/>
      <c r="C19" s="268" t="s">
        <v>178</v>
      </c>
      <c r="D19" s="867">
        <f>D42</f>
        <v>0</v>
      </c>
      <c r="E19" s="865">
        <v>0</v>
      </c>
      <c r="F19" s="187"/>
      <c r="G19" s="187"/>
      <c r="H19" s="187"/>
      <c r="I19" s="862"/>
      <c r="J19" s="862"/>
    </row>
    <row r="20" spans="1:10">
      <c r="A20" s="861"/>
      <c r="B20" s="268"/>
      <c r="C20" s="268" t="s">
        <v>179</v>
      </c>
      <c r="D20" s="867">
        <f>E42</f>
        <v>0</v>
      </c>
      <c r="E20" s="865">
        <v>179291.18</v>
      </c>
      <c r="F20" s="187"/>
      <c r="G20" s="187"/>
      <c r="H20" s="187"/>
      <c r="I20" s="862"/>
      <c r="J20" s="862"/>
    </row>
    <row r="21" spans="1:10">
      <c r="A21" s="1080"/>
      <c r="B21" s="601"/>
      <c r="C21" s="601"/>
      <c r="D21" s="970"/>
      <c r="E21" s="970"/>
      <c r="F21" s="1080"/>
      <c r="G21" s="1080"/>
      <c r="H21" s="1080"/>
      <c r="I21" s="970"/>
      <c r="J21" s="970"/>
    </row>
    <row r="25" spans="1:10">
      <c r="B25" s="50" t="str">
        <f>+B1</f>
        <v>SANCY - SLP</v>
      </c>
      <c r="C25" s="49" t="s">
        <v>180</v>
      </c>
      <c r="E25" s="52">
        <f>+D1</f>
        <v>46022</v>
      </c>
    </row>
    <row r="28" spans="1:10" ht="21" customHeight="1" thickBot="1">
      <c r="B28" s="1084"/>
      <c r="C28" s="1085"/>
      <c r="D28" s="1086" t="s">
        <v>181</v>
      </c>
      <c r="E28" s="1086"/>
      <c r="F28" s="53"/>
    </row>
    <row r="29" spans="1:10" ht="26.25" thickBot="1">
      <c r="B29" s="1084"/>
      <c r="C29" s="1085"/>
      <c r="D29" s="1087" t="s">
        <v>182</v>
      </c>
      <c r="E29" s="1087" t="s">
        <v>183</v>
      </c>
      <c r="F29" s="54" t="s">
        <v>150</v>
      </c>
    </row>
    <row r="30" spans="1:10" ht="13.5" thickBot="1">
      <c r="B30" s="1088" t="s">
        <v>184</v>
      </c>
      <c r="C30" s="1089"/>
      <c r="D30" s="1090"/>
      <c r="E30" s="1090"/>
      <c r="F30" s="55"/>
    </row>
    <row r="31" spans="1:10" ht="13.5" thickBot="1">
      <c r="B31" s="1091"/>
      <c r="C31" s="1092"/>
      <c r="D31" s="1090"/>
      <c r="E31" s="1090"/>
      <c r="F31" s="55"/>
    </row>
    <row r="32" spans="1:10">
      <c r="B32" s="1093"/>
      <c r="C32" s="1094"/>
      <c r="D32" s="1090"/>
      <c r="E32" s="1090"/>
    </row>
    <row r="33" spans="2:5">
      <c r="B33" s="1093"/>
      <c r="C33" s="1094"/>
      <c r="D33" s="1090"/>
      <c r="E33" s="1090"/>
    </row>
    <row r="34" spans="2:5">
      <c r="B34" s="1095" t="s">
        <v>185</v>
      </c>
      <c r="C34" s="1096"/>
      <c r="D34" s="1097">
        <f>SUM(D30:D33)</f>
        <v>0</v>
      </c>
      <c r="E34" s="1097">
        <f>SUM(E30:E33)</f>
        <v>0</v>
      </c>
    </row>
    <row r="35" spans="2:5" ht="25.5" customHeight="1">
      <c r="B35" s="1088" t="s">
        <v>186</v>
      </c>
      <c r="C35" s="1089"/>
      <c r="D35" s="1090"/>
      <c r="E35" s="1090"/>
    </row>
    <row r="36" spans="2:5">
      <c r="B36" s="1093"/>
      <c r="C36" s="1094"/>
      <c r="D36" s="1090"/>
      <c r="E36" s="1090"/>
    </row>
    <row r="37" spans="2:5">
      <c r="B37" s="1093"/>
      <c r="C37" s="1094"/>
      <c r="D37" s="1090"/>
      <c r="E37" s="1090"/>
    </row>
    <row r="38" spans="2:5">
      <c r="B38" s="1095" t="s">
        <v>185</v>
      </c>
      <c r="C38" s="1096"/>
      <c r="D38" s="1097">
        <f>SUM(D35:D37)</f>
        <v>0</v>
      </c>
      <c r="E38" s="1097">
        <f>SUM(E35:E37)</f>
        <v>0</v>
      </c>
    </row>
    <row r="39" spans="2:5">
      <c r="B39" s="1098" t="s">
        <v>177</v>
      </c>
      <c r="C39" s="1099"/>
      <c r="D39" s="1100"/>
      <c r="E39" s="1101" t="s">
        <v>187</v>
      </c>
    </row>
    <row r="40" spans="2:5">
      <c r="B40" s="1102"/>
      <c r="C40" s="1103"/>
      <c r="D40" s="1100"/>
      <c r="E40" s="1101"/>
    </row>
    <row r="41" spans="2:5">
      <c r="B41" s="1104"/>
      <c r="C41" s="1105"/>
      <c r="D41" s="1100"/>
      <c r="E41" s="1090"/>
    </row>
    <row r="42" spans="2:5">
      <c r="B42" s="1095" t="s">
        <v>185</v>
      </c>
      <c r="C42" s="1096"/>
      <c r="D42" s="1097">
        <f>SUM(D39:D41)</f>
        <v>0</v>
      </c>
      <c r="E42" s="1097">
        <f>SUM(E39:E41)</f>
        <v>0</v>
      </c>
    </row>
  </sheetData>
  <mergeCells count="9">
    <mergeCell ref="B39:C39"/>
    <mergeCell ref="B41:C41"/>
    <mergeCell ref="B42:C42"/>
    <mergeCell ref="B35:C35"/>
    <mergeCell ref="D28:E28"/>
    <mergeCell ref="B30:C30"/>
    <mergeCell ref="B31:C31"/>
    <mergeCell ref="B34:C34"/>
    <mergeCell ref="B38:C38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4" fitToHeight="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5"/>
  <dimension ref="A1:U29"/>
  <sheetViews>
    <sheetView view="pageBreakPreview" zoomScaleNormal="115" zoomScaleSheetLayoutView="100" workbookViewId="0"/>
  </sheetViews>
  <sheetFormatPr defaultColWidth="11.42578125" defaultRowHeight="12.75"/>
  <cols>
    <col min="1" max="1" width="1.140625" style="126" customWidth="1"/>
    <col min="2" max="2" width="24.5703125" style="126" customWidth="1"/>
    <col min="3" max="3" width="21.5703125" style="129" customWidth="1"/>
    <col min="4" max="4" width="9.140625" style="216" customWidth="1"/>
    <col min="5" max="5" width="15.85546875" style="218" bestFit="1" customWidth="1"/>
    <col min="6" max="6" width="17.140625" style="219" bestFit="1" customWidth="1"/>
    <col min="7" max="7" width="16.42578125" style="219" customWidth="1"/>
    <col min="8" max="8" width="10.85546875" style="220" customWidth="1"/>
    <col min="9" max="9" width="12.140625" style="220" customWidth="1"/>
    <col min="10" max="10" width="12.140625" style="213" customWidth="1"/>
    <col min="11" max="11" width="12.140625" style="220" customWidth="1"/>
    <col min="12" max="12" width="19.140625" style="126" customWidth="1"/>
    <col min="13" max="13" width="18" style="129" customWidth="1"/>
    <col min="14" max="14" width="15.5703125" style="224" bestFit="1" customWidth="1"/>
    <col min="15" max="16" width="13.140625" style="222" customWidth="1"/>
    <col min="17" max="17" width="14.140625" style="126" customWidth="1"/>
    <col min="18" max="18" width="13.42578125" style="126" customWidth="1"/>
    <col min="19" max="19" width="14" style="126" customWidth="1"/>
    <col min="20" max="21" width="11.85546875" style="126" bestFit="1" customWidth="1"/>
    <col min="22" max="16384" width="11.42578125" style="126"/>
  </cols>
  <sheetData>
    <row r="1" spans="1:21" s="203" customFormat="1" ht="25.5">
      <c r="B1" s="154" t="str">
        <f>'Rappro Titres &amp; Parts'!B1</f>
        <v>SANCY - SLP</v>
      </c>
      <c r="C1" s="129"/>
      <c r="D1" s="204"/>
      <c r="G1" s="14" t="s">
        <v>188</v>
      </c>
      <c r="J1" s="205"/>
      <c r="K1" s="205">
        <f>Sommaire!C1</f>
        <v>46022</v>
      </c>
      <c r="L1" s="135"/>
      <c r="N1" s="206"/>
      <c r="Q1" s="207" t="s">
        <v>189</v>
      </c>
      <c r="R1" s="208">
        <f>SUMIFS(J:J,D:D,"&gt;" &amp; T1,D:D,"&lt;=" &amp; K1,C:C,"&lt;&gt;Récap")+SUMIFS(G:G,D:D,"&gt;" &amp; T1,D:D,"&lt;=" &amp; K1,C:C,"&lt;&gt;Récap")-R2</f>
        <v>0</v>
      </c>
      <c r="T1" s="209">
        <f>DATE(YEAR(K1)+U1,MONTH(K1),DAY(K1))</f>
        <v>45657</v>
      </c>
      <c r="U1" s="210">
        <v>-1</v>
      </c>
    </row>
    <row r="2" spans="1:21" s="203" customFormat="1">
      <c r="C2" s="211"/>
      <c r="D2" s="212"/>
      <c r="F2" s="213"/>
      <c r="H2" s="14"/>
      <c r="J2" s="206"/>
      <c r="L2" s="214"/>
      <c r="N2" s="206"/>
      <c r="Q2" s="215" t="s">
        <v>190</v>
      </c>
      <c r="R2" s="208">
        <f>SUMIFS(J:J,D:D,"&gt;" &amp; T1,D:D,"&lt;=" &amp; K1,C:C,"&lt;&gt;Récap",A:A,"x")+SUMIFS(G:G,D:D,"&gt;" &amp; T1,D:D,"&lt;=" &amp; K1,C:C,"&lt;&gt;Récap",A:A,"x")</f>
        <v>0</v>
      </c>
    </row>
    <row r="3" spans="1:21" s="154" customFormat="1" ht="12.75" customHeight="1">
      <c r="B3" s="203" t="s">
        <v>191</v>
      </c>
      <c r="D3" s="212"/>
      <c r="E3" s="1098" t="s">
        <v>192</v>
      </c>
      <c r="F3" s="1106"/>
      <c r="G3" s="1099"/>
      <c r="H3" s="1098" t="s">
        <v>193</v>
      </c>
      <c r="I3" s="1106"/>
      <c r="J3" s="1106"/>
      <c r="K3" s="1107"/>
      <c r="L3" s="1098" t="s">
        <v>194</v>
      </c>
      <c r="M3" s="1106"/>
      <c r="N3" s="1106"/>
      <c r="O3" s="1108" t="s">
        <v>195</v>
      </c>
      <c r="P3" s="1108" t="s">
        <v>196</v>
      </c>
      <c r="Q3" s="987" t="s">
        <v>197</v>
      </c>
      <c r="R3" s="987" t="s">
        <v>198</v>
      </c>
      <c r="S3" s="987" t="s">
        <v>199</v>
      </c>
    </row>
    <row r="4" spans="1:21" s="127" customFormat="1" ht="25.5">
      <c r="A4" s="126"/>
      <c r="B4" s="1109"/>
      <c r="C4" s="1110" t="s">
        <v>200</v>
      </c>
      <c r="D4" s="1111" t="s">
        <v>201</v>
      </c>
      <c r="E4" s="1112" t="s">
        <v>202</v>
      </c>
      <c r="F4" s="1109" t="s">
        <v>203</v>
      </c>
      <c r="G4" s="1113" t="s">
        <v>204</v>
      </c>
      <c r="H4" s="1112" t="s">
        <v>202</v>
      </c>
      <c r="I4" s="1109" t="s">
        <v>205</v>
      </c>
      <c r="J4" s="1114" t="s">
        <v>206</v>
      </c>
      <c r="K4" s="1110" t="s">
        <v>204</v>
      </c>
      <c r="L4" s="1112" t="s">
        <v>207</v>
      </c>
      <c r="M4" s="1109" t="s">
        <v>208</v>
      </c>
      <c r="N4" s="1115" t="s">
        <v>209</v>
      </c>
      <c r="O4" s="989"/>
      <c r="P4" s="989"/>
      <c r="Q4" s="988" t="s">
        <v>210</v>
      </c>
      <c r="R4" s="988" t="s">
        <v>210</v>
      </c>
      <c r="S4" s="988" t="s">
        <v>140</v>
      </c>
    </row>
    <row r="5" spans="1:21">
      <c r="B5" s="870"/>
      <c r="C5" s="200" t="s">
        <v>211</v>
      </c>
      <c r="D5" s="1116"/>
      <c r="E5" s="871"/>
      <c r="F5" s="872"/>
      <c r="G5" s="871"/>
      <c r="H5" s="873"/>
      <c r="I5" s="872"/>
      <c r="J5" s="871"/>
      <c r="K5" s="325"/>
      <c r="L5" s="326"/>
      <c r="M5" s="161"/>
      <c r="N5" s="327">
        <f>+IF(L5=0,0,M5/L5)</f>
        <v>0</v>
      </c>
      <c r="O5" s="320">
        <f>IF(J5-K5&gt;0,J5-K5,0)</f>
        <v>0</v>
      </c>
      <c r="P5" s="320">
        <f>IF(J5-K5&lt;0,J5-K5,0)</f>
        <v>0</v>
      </c>
      <c r="Q5" s="128">
        <f>+J5-K5</f>
        <v>0</v>
      </c>
      <c r="R5" s="128">
        <f>+O5+P5</f>
        <v>0</v>
      </c>
      <c r="S5" s="128">
        <f>+Q5-R5</f>
        <v>0</v>
      </c>
    </row>
    <row r="6" spans="1:21">
      <c r="B6" s="283" t="s">
        <v>212</v>
      </c>
      <c r="C6" s="328" t="s">
        <v>213</v>
      </c>
      <c r="D6" s="216">
        <v>45107</v>
      </c>
      <c r="E6" s="873">
        <v>14423076</v>
      </c>
      <c r="F6" s="872">
        <f>IF(E6=0,0,G6/E6)</f>
        <v>1.04</v>
      </c>
      <c r="G6" s="871">
        <v>14999999.039999999</v>
      </c>
      <c r="H6" s="329"/>
      <c r="I6" s="872">
        <f>IF(H6=0,0,J6/H6)</f>
        <v>0</v>
      </c>
      <c r="J6" s="871"/>
      <c r="K6" s="325">
        <f>+H6*N5</f>
        <v>0</v>
      </c>
      <c r="L6" s="326">
        <f>+L5+E6-H6</f>
        <v>14423076</v>
      </c>
      <c r="M6" s="161">
        <f>+M5+G6-K6</f>
        <v>14999999.039999999</v>
      </c>
      <c r="N6" s="327">
        <f>+IF(L6=0,0,M6/L6)</f>
        <v>1.04</v>
      </c>
      <c r="O6" s="320">
        <f>IF(J6-K6&gt;0,J6-K6,0)</f>
        <v>0</v>
      </c>
      <c r="P6" s="320">
        <f>IF(J6-K6&lt;0,J6-K6,0)</f>
        <v>0</v>
      </c>
      <c r="Q6" s="128">
        <f>+J6-K6</f>
        <v>0</v>
      </c>
      <c r="R6" s="128">
        <f>+O6+P6</f>
        <v>0</v>
      </c>
      <c r="S6" s="128">
        <f>+Q6-R6</f>
        <v>0</v>
      </c>
    </row>
    <row r="7" spans="1:21">
      <c r="B7" s="870" t="str">
        <f t="shared" ref="B7:B13" si="0">B6</f>
        <v>Heka Invest - Actions</v>
      </c>
      <c r="C7" s="328"/>
      <c r="E7" s="873"/>
      <c r="F7" s="872">
        <f t="shared" ref="F7:F13" si="1">IF(E7=0,0,G7/E7)</f>
        <v>0</v>
      </c>
      <c r="G7" s="871"/>
      <c r="H7" s="329"/>
      <c r="I7" s="872">
        <f t="shared" ref="I7:I13" si="2">IF(H7=0,0,J7/H7)</f>
        <v>0</v>
      </c>
      <c r="J7" s="871"/>
      <c r="K7" s="325">
        <f t="shared" ref="K7:K12" si="3">+H7*N6</f>
        <v>0</v>
      </c>
      <c r="L7" s="326">
        <f t="shared" ref="L7:L13" si="4">+L6+E7-H7</f>
        <v>14423076</v>
      </c>
      <c r="M7" s="161">
        <f t="shared" ref="M7:M13" si="5">+M6+G7-K7</f>
        <v>14999999.039999999</v>
      </c>
      <c r="N7" s="327">
        <f t="shared" ref="N7:N13" si="6">+IF(L7=0,0,M7/L7)</f>
        <v>1.04</v>
      </c>
      <c r="O7" s="320">
        <f t="shared" ref="O7" si="7">IF(J7-K7&gt;0,J7-K7,0)</f>
        <v>0</v>
      </c>
      <c r="P7" s="320">
        <f t="shared" ref="P7" si="8">IF(J7-K7&lt;0,J7-K7,0)</f>
        <v>0</v>
      </c>
      <c r="Q7" s="128">
        <f t="shared" ref="Q7" si="9">+J7-K7</f>
        <v>0</v>
      </c>
      <c r="R7" s="128">
        <f t="shared" ref="R7" si="10">+O7+P7</f>
        <v>0</v>
      </c>
      <c r="S7" s="128">
        <f t="shared" ref="S7" si="11">+Q7-R7</f>
        <v>0</v>
      </c>
    </row>
    <row r="8" spans="1:21">
      <c r="B8" s="870" t="str">
        <f t="shared" si="0"/>
        <v>Heka Invest - Actions</v>
      </c>
      <c r="C8" s="328"/>
      <c r="E8" s="873"/>
      <c r="F8" s="872">
        <f t="shared" si="1"/>
        <v>0</v>
      </c>
      <c r="G8" s="871"/>
      <c r="H8" s="329"/>
      <c r="I8" s="872">
        <f t="shared" si="2"/>
        <v>0</v>
      </c>
      <c r="J8" s="871"/>
      <c r="K8" s="325">
        <f t="shared" si="3"/>
        <v>0</v>
      </c>
      <c r="L8" s="326">
        <f t="shared" si="4"/>
        <v>14423076</v>
      </c>
      <c r="M8" s="161">
        <f t="shared" si="5"/>
        <v>14999999.039999999</v>
      </c>
      <c r="N8" s="327">
        <f t="shared" si="6"/>
        <v>1.04</v>
      </c>
      <c r="O8" s="320">
        <f t="shared" ref="O8:O13" si="12">IF(J8-K8&gt;0,J8-K8,0)</f>
        <v>0</v>
      </c>
      <c r="P8" s="320">
        <f t="shared" ref="P8:P13" si="13">IF(J8-K8&lt;0,J8-K8,0)</f>
        <v>0</v>
      </c>
      <c r="Q8" s="128">
        <f t="shared" ref="Q8:Q13" si="14">+J8-K8</f>
        <v>0</v>
      </c>
      <c r="R8" s="128">
        <f t="shared" ref="R8:R13" si="15">+O8+P8</f>
        <v>0</v>
      </c>
      <c r="S8" s="128">
        <f t="shared" ref="S8:S13" si="16">+Q8-R8</f>
        <v>0</v>
      </c>
    </row>
    <row r="9" spans="1:21">
      <c r="B9" s="870" t="str">
        <f t="shared" si="0"/>
        <v>Heka Invest - Actions</v>
      </c>
      <c r="C9" s="328"/>
      <c r="E9" s="873"/>
      <c r="F9" s="872">
        <f t="shared" si="1"/>
        <v>0</v>
      </c>
      <c r="G9" s="871"/>
      <c r="H9" s="329"/>
      <c r="I9" s="872">
        <f t="shared" si="2"/>
        <v>0</v>
      </c>
      <c r="J9" s="871"/>
      <c r="K9" s="325">
        <f t="shared" si="3"/>
        <v>0</v>
      </c>
      <c r="L9" s="326">
        <f t="shared" si="4"/>
        <v>14423076</v>
      </c>
      <c r="M9" s="161">
        <f t="shared" si="5"/>
        <v>14999999.039999999</v>
      </c>
      <c r="N9" s="327">
        <f t="shared" si="6"/>
        <v>1.04</v>
      </c>
      <c r="O9" s="320">
        <f t="shared" si="12"/>
        <v>0</v>
      </c>
      <c r="P9" s="320">
        <f t="shared" si="13"/>
        <v>0</v>
      </c>
      <c r="Q9" s="128">
        <f t="shared" si="14"/>
        <v>0</v>
      </c>
      <c r="R9" s="128">
        <f t="shared" si="15"/>
        <v>0</v>
      </c>
      <c r="S9" s="128">
        <f t="shared" si="16"/>
        <v>0</v>
      </c>
    </row>
    <row r="10" spans="1:21">
      <c r="B10" s="870" t="str">
        <f t="shared" si="0"/>
        <v>Heka Invest - Actions</v>
      </c>
      <c r="C10" s="328"/>
      <c r="E10" s="873"/>
      <c r="F10" s="872">
        <f t="shared" si="1"/>
        <v>0</v>
      </c>
      <c r="G10" s="871"/>
      <c r="H10" s="329"/>
      <c r="I10" s="872">
        <f t="shared" si="2"/>
        <v>0</v>
      </c>
      <c r="J10" s="871"/>
      <c r="K10" s="325">
        <f>+H10*N9</f>
        <v>0</v>
      </c>
      <c r="L10" s="326">
        <f t="shared" si="4"/>
        <v>14423076</v>
      </c>
      <c r="M10" s="161">
        <f>+M9+G10-K10</f>
        <v>14999999.039999999</v>
      </c>
      <c r="N10" s="327">
        <f t="shared" si="6"/>
        <v>1.04</v>
      </c>
      <c r="O10" s="320">
        <f>IF(J10-K10&gt;0,J10-K10,0)</f>
        <v>0</v>
      </c>
      <c r="P10" s="320">
        <f>IF(J10-K10&lt;0,J10-K10,0)</f>
        <v>0</v>
      </c>
      <c r="Q10" s="128">
        <f>+J10-K10</f>
        <v>0</v>
      </c>
      <c r="R10" s="128">
        <f t="shared" si="15"/>
        <v>0</v>
      </c>
      <c r="S10" s="128">
        <f t="shared" si="16"/>
        <v>0</v>
      </c>
    </row>
    <row r="11" spans="1:21">
      <c r="B11" s="870" t="str">
        <f t="shared" si="0"/>
        <v>Heka Invest - Actions</v>
      </c>
      <c r="C11" s="328"/>
      <c r="E11" s="873"/>
      <c r="F11" s="872">
        <f t="shared" si="1"/>
        <v>0</v>
      </c>
      <c r="G11" s="871"/>
      <c r="H11" s="329"/>
      <c r="I11" s="872">
        <f t="shared" si="2"/>
        <v>0</v>
      </c>
      <c r="J11" s="871"/>
      <c r="K11" s="325">
        <f t="shared" si="3"/>
        <v>0</v>
      </c>
      <c r="L11" s="326">
        <f t="shared" si="4"/>
        <v>14423076</v>
      </c>
      <c r="M11" s="161">
        <f t="shared" si="5"/>
        <v>14999999.039999999</v>
      </c>
      <c r="N11" s="327">
        <f t="shared" si="6"/>
        <v>1.04</v>
      </c>
      <c r="O11" s="320">
        <f t="shared" si="12"/>
        <v>0</v>
      </c>
      <c r="P11" s="320">
        <f t="shared" si="13"/>
        <v>0</v>
      </c>
      <c r="Q11" s="128">
        <f t="shared" si="14"/>
        <v>0</v>
      </c>
      <c r="R11" s="128">
        <f t="shared" si="15"/>
        <v>0</v>
      </c>
      <c r="S11" s="128">
        <f t="shared" si="16"/>
        <v>0</v>
      </c>
    </row>
    <row r="12" spans="1:21">
      <c r="B12" s="870" t="str">
        <f t="shared" si="0"/>
        <v>Heka Invest - Actions</v>
      </c>
      <c r="C12" s="328"/>
      <c r="E12" s="873"/>
      <c r="F12" s="872">
        <f t="shared" si="1"/>
        <v>0</v>
      </c>
      <c r="G12" s="871"/>
      <c r="H12" s="329"/>
      <c r="I12" s="872">
        <f t="shared" si="2"/>
        <v>0</v>
      </c>
      <c r="J12" s="871"/>
      <c r="K12" s="325">
        <f t="shared" si="3"/>
        <v>0</v>
      </c>
      <c r="L12" s="326">
        <f t="shared" si="4"/>
        <v>14423076</v>
      </c>
      <c r="M12" s="161">
        <f t="shared" si="5"/>
        <v>14999999.039999999</v>
      </c>
      <c r="N12" s="327">
        <f t="shared" si="6"/>
        <v>1.04</v>
      </c>
      <c r="O12" s="320">
        <f t="shared" si="12"/>
        <v>0</v>
      </c>
      <c r="P12" s="320">
        <f t="shared" si="13"/>
        <v>0</v>
      </c>
      <c r="Q12" s="128">
        <f t="shared" si="14"/>
        <v>0</v>
      </c>
      <c r="R12" s="128">
        <f t="shared" si="15"/>
        <v>0</v>
      </c>
      <c r="S12" s="128">
        <f t="shared" si="16"/>
        <v>0</v>
      </c>
    </row>
    <row r="13" spans="1:21">
      <c r="B13" s="870" t="str">
        <f t="shared" si="0"/>
        <v>Heka Invest - Actions</v>
      </c>
      <c r="C13" s="328"/>
      <c r="E13" s="873"/>
      <c r="F13" s="872">
        <f t="shared" si="1"/>
        <v>0</v>
      </c>
      <c r="G13" s="871"/>
      <c r="H13" s="873"/>
      <c r="I13" s="872">
        <f t="shared" si="2"/>
        <v>0</v>
      </c>
      <c r="J13" s="871"/>
      <c r="K13" s="325">
        <f>+H13*N7</f>
        <v>0</v>
      </c>
      <c r="L13" s="326">
        <f t="shared" si="4"/>
        <v>14423076</v>
      </c>
      <c r="M13" s="161">
        <f t="shared" si="5"/>
        <v>14999999.039999999</v>
      </c>
      <c r="N13" s="327">
        <f t="shared" si="6"/>
        <v>1.04</v>
      </c>
      <c r="O13" s="320">
        <f t="shared" si="12"/>
        <v>0</v>
      </c>
      <c r="P13" s="320">
        <f t="shared" si="13"/>
        <v>0</v>
      </c>
      <c r="Q13" s="128">
        <f t="shared" si="14"/>
        <v>0</v>
      </c>
      <c r="R13" s="128">
        <f t="shared" si="15"/>
        <v>0</v>
      </c>
      <c r="S13" s="128">
        <f t="shared" si="16"/>
        <v>0</v>
      </c>
    </row>
    <row r="14" spans="1:21">
      <c r="B14" s="870"/>
      <c r="C14" s="328"/>
      <c r="E14" s="873"/>
      <c r="F14" s="872"/>
      <c r="G14" s="871"/>
      <c r="H14" s="873"/>
      <c r="I14" s="872"/>
      <c r="J14" s="871"/>
      <c r="K14" s="239"/>
      <c r="L14" s="326"/>
      <c r="M14" s="161"/>
      <c r="N14" s="327"/>
      <c r="O14" s="320"/>
      <c r="P14" s="320"/>
      <c r="Q14" s="128"/>
      <c r="R14" s="128"/>
      <c r="S14" s="128"/>
    </row>
    <row r="15" spans="1:21" s="9" customFormat="1">
      <c r="A15" s="126"/>
      <c r="B15" s="1117" t="str">
        <f>B13</f>
        <v>Heka Invest - Actions</v>
      </c>
      <c r="C15" s="1118" t="s">
        <v>214</v>
      </c>
      <c r="D15" s="1119">
        <f>+$K$1</f>
        <v>46022</v>
      </c>
      <c r="E15" s="1120">
        <f>SUM(E5:E13)</f>
        <v>14423076</v>
      </c>
      <c r="F15" s="1121">
        <f>+IF(E15=0,0,G15/E15)</f>
        <v>1.04</v>
      </c>
      <c r="G15" s="1121">
        <f>SUM(G5:G13)</f>
        <v>14999999.039999999</v>
      </c>
      <c r="H15" s="1120">
        <f>SUM(H5:H13)</f>
        <v>0</v>
      </c>
      <c r="I15" s="1121">
        <f>+IF(H15=0,0,J15/H15)</f>
        <v>0</v>
      </c>
      <c r="J15" s="1122">
        <f>SUM(J5:J13)</f>
        <v>0</v>
      </c>
      <c r="K15" s="1123">
        <f>SUM(K5:K13)</f>
        <v>0</v>
      </c>
      <c r="L15" s="1121">
        <f>L13</f>
        <v>14423076</v>
      </c>
      <c r="M15" s="1121">
        <f>+M13</f>
        <v>14999999.039999999</v>
      </c>
      <c r="N15" s="1124">
        <f>+IF(L15=0,0,M15/L15)</f>
        <v>1.04</v>
      </c>
      <c r="O15" s="1125">
        <f>SUM(O5:O13)</f>
        <v>0</v>
      </c>
      <c r="P15" s="1125">
        <f>SUM(P5:P13)</f>
        <v>0</v>
      </c>
      <c r="Q15" s="128">
        <f>+J15-K15</f>
        <v>0</v>
      </c>
      <c r="R15" s="128">
        <f>+O15+P15</f>
        <v>0</v>
      </c>
      <c r="S15" s="128">
        <f>+Q15-R15</f>
        <v>0</v>
      </c>
    </row>
    <row r="16" spans="1:21">
      <c r="B16" s="870"/>
      <c r="C16" s="200" t="s">
        <v>211</v>
      </c>
      <c r="D16" s="1116"/>
      <c r="E16" s="871"/>
      <c r="F16" s="872"/>
      <c r="G16" s="871"/>
      <c r="H16" s="873"/>
      <c r="I16" s="872"/>
      <c r="J16" s="871"/>
      <c r="K16" s="325"/>
      <c r="L16" s="326"/>
      <c r="M16" s="161"/>
      <c r="N16" s="327">
        <f>+IF(L16=0,0,M16/L16)</f>
        <v>0</v>
      </c>
      <c r="O16" s="320">
        <f>IF(J16-K16&gt;0,J16-K16,0)</f>
        <v>0</v>
      </c>
      <c r="P16" s="320">
        <f>IF(J16-K16&lt;0,J16-K16,0)</f>
        <v>0</v>
      </c>
      <c r="Q16" s="128">
        <f>+J16-K16</f>
        <v>0</v>
      </c>
      <c r="R16" s="128">
        <f>+O16+P16</f>
        <v>0</v>
      </c>
      <c r="S16" s="128">
        <f>+Q16-R16</f>
        <v>0</v>
      </c>
    </row>
    <row r="17" spans="1:20">
      <c r="B17" s="283" t="s">
        <v>215</v>
      </c>
      <c r="C17" s="328"/>
      <c r="E17" s="873"/>
      <c r="F17" s="872">
        <f>IF(E17=0,0,G17/E17)</f>
        <v>0</v>
      </c>
      <c r="G17" s="871"/>
      <c r="H17" s="329"/>
      <c r="I17" s="872">
        <f>IF(H17=0,0,J17/H17)</f>
        <v>0</v>
      </c>
      <c r="J17" s="871"/>
      <c r="K17" s="325">
        <f>+H17*N16</f>
        <v>0</v>
      </c>
      <c r="L17" s="326">
        <f>+L16+E17-H17</f>
        <v>0</v>
      </c>
      <c r="M17" s="161">
        <f>+M16+G17-K17</f>
        <v>0</v>
      </c>
      <c r="N17" s="327">
        <f>+IF(L17=0,0,M17/L17)</f>
        <v>0</v>
      </c>
      <c r="O17" s="320">
        <f>IF(J17-K17&gt;0,J17-K17,0)</f>
        <v>0</v>
      </c>
      <c r="P17" s="320">
        <f>IF(J17-K17&lt;0,J17-K17,0)</f>
        <v>0</v>
      </c>
      <c r="Q17" s="128">
        <f>+J17-K17</f>
        <v>0</v>
      </c>
      <c r="R17" s="128">
        <f>+O17+P17</f>
        <v>0</v>
      </c>
      <c r="S17" s="128">
        <f>+Q17-R17</f>
        <v>0</v>
      </c>
    </row>
    <row r="18" spans="1:20">
      <c r="B18" s="870" t="str">
        <f t="shared" ref="B18:B20" si="17">B17</f>
        <v>XX</v>
      </c>
      <c r="C18" s="328"/>
      <c r="E18" s="873"/>
      <c r="F18" s="872">
        <f t="shared" ref="F18:F20" si="18">IF(E18=0,0,G18/E18)</f>
        <v>0</v>
      </c>
      <c r="G18" s="871"/>
      <c r="H18" s="329"/>
      <c r="I18" s="872">
        <f t="shared" ref="I18:I20" si="19">IF(H18=0,0,J18/H18)</f>
        <v>0</v>
      </c>
      <c r="J18" s="871"/>
      <c r="K18" s="325">
        <f t="shared" ref="K18:K20" si="20">+H18*N17</f>
        <v>0</v>
      </c>
      <c r="L18" s="326">
        <f t="shared" ref="L18:L20" si="21">+L17+E18-H18</f>
        <v>0</v>
      </c>
      <c r="M18" s="161">
        <f t="shared" ref="M18:M20" si="22">+M17+G18-K18</f>
        <v>0</v>
      </c>
      <c r="N18" s="327">
        <f t="shared" ref="N18:N20" si="23">+IF(L18=0,0,M18/L18)</f>
        <v>0</v>
      </c>
      <c r="O18" s="320">
        <f t="shared" ref="O18:O20" si="24">IF(J18-K18&gt;0,J18-K18,0)</f>
        <v>0</v>
      </c>
      <c r="P18" s="320">
        <f t="shared" ref="P18:P20" si="25">IF(J18-K18&lt;0,J18-K18,0)</f>
        <v>0</v>
      </c>
      <c r="Q18" s="128">
        <f t="shared" ref="Q18:Q20" si="26">+J18-K18</f>
        <v>0</v>
      </c>
      <c r="R18" s="128">
        <f t="shared" ref="R18:R20" si="27">+O18+P18</f>
        <v>0</v>
      </c>
      <c r="S18" s="128">
        <f t="shared" ref="S18:S20" si="28">+Q18-R18</f>
        <v>0</v>
      </c>
    </row>
    <row r="19" spans="1:20">
      <c r="B19" s="870" t="str">
        <f t="shared" si="17"/>
        <v>XX</v>
      </c>
      <c r="C19" s="328"/>
      <c r="E19" s="873"/>
      <c r="F19" s="872">
        <f t="shared" si="18"/>
        <v>0</v>
      </c>
      <c r="G19" s="871"/>
      <c r="H19" s="329"/>
      <c r="I19" s="872">
        <f t="shared" si="19"/>
        <v>0</v>
      </c>
      <c r="J19" s="871"/>
      <c r="K19" s="325">
        <f t="shared" si="20"/>
        <v>0</v>
      </c>
      <c r="L19" s="326">
        <f t="shared" si="21"/>
        <v>0</v>
      </c>
      <c r="M19" s="161">
        <f t="shared" si="22"/>
        <v>0</v>
      </c>
      <c r="N19" s="327">
        <f t="shared" si="23"/>
        <v>0</v>
      </c>
      <c r="O19" s="320">
        <f t="shared" si="24"/>
        <v>0</v>
      </c>
      <c r="P19" s="320">
        <f t="shared" si="25"/>
        <v>0</v>
      </c>
      <c r="Q19" s="128">
        <f t="shared" si="26"/>
        <v>0</v>
      </c>
      <c r="R19" s="128">
        <f t="shared" si="27"/>
        <v>0</v>
      </c>
      <c r="S19" s="128">
        <f t="shared" si="28"/>
        <v>0</v>
      </c>
    </row>
    <row r="20" spans="1:20">
      <c r="B20" s="870" t="str">
        <f t="shared" si="17"/>
        <v>XX</v>
      </c>
      <c r="C20" s="328"/>
      <c r="E20" s="873"/>
      <c r="F20" s="872">
        <f t="shared" si="18"/>
        <v>0</v>
      </c>
      <c r="G20" s="871"/>
      <c r="H20" s="329"/>
      <c r="I20" s="872">
        <f t="shared" si="19"/>
        <v>0</v>
      </c>
      <c r="J20" s="871"/>
      <c r="K20" s="325">
        <f t="shared" si="20"/>
        <v>0</v>
      </c>
      <c r="L20" s="326">
        <f t="shared" si="21"/>
        <v>0</v>
      </c>
      <c r="M20" s="161">
        <f t="shared" si="22"/>
        <v>0</v>
      </c>
      <c r="N20" s="327">
        <f t="shared" si="23"/>
        <v>0</v>
      </c>
      <c r="O20" s="320">
        <f t="shared" si="24"/>
        <v>0</v>
      </c>
      <c r="P20" s="320">
        <f t="shared" si="25"/>
        <v>0</v>
      </c>
      <c r="Q20" s="128">
        <f t="shared" si="26"/>
        <v>0</v>
      </c>
      <c r="R20" s="128">
        <f t="shared" si="27"/>
        <v>0</v>
      </c>
      <c r="S20" s="128">
        <f t="shared" si="28"/>
        <v>0</v>
      </c>
    </row>
    <row r="21" spans="1:20" s="9" customFormat="1">
      <c r="A21" s="126"/>
      <c r="B21" s="1117" t="str">
        <f>+B20</f>
        <v>XX</v>
      </c>
      <c r="C21" s="1118" t="s">
        <v>214</v>
      </c>
      <c r="D21" s="1119">
        <f>+$K$1</f>
        <v>46022</v>
      </c>
      <c r="E21" s="1120">
        <f>SUM(E16:E20)</f>
        <v>0</v>
      </c>
      <c r="F21" s="1121">
        <f>+IF(E21=0,0,G21/E21)</f>
        <v>0</v>
      </c>
      <c r="G21" s="1121">
        <f>SUM(G16:G20)</f>
        <v>0</v>
      </c>
      <c r="H21" s="1120">
        <f>SUM(H16:H20)</f>
        <v>0</v>
      </c>
      <c r="I21" s="1121">
        <f>+IF(H21=0,0,J21/H21)</f>
        <v>0</v>
      </c>
      <c r="J21" s="1122">
        <f>SUM(J16:J20)</f>
        <v>0</v>
      </c>
      <c r="K21" s="1123">
        <f>SUM(K16:K20)</f>
        <v>0</v>
      </c>
      <c r="L21" s="1121">
        <f>+L20</f>
        <v>0</v>
      </c>
      <c r="M21" s="1121">
        <f>+M20</f>
        <v>0</v>
      </c>
      <c r="N21" s="1124">
        <f>+IF(L21=0,0,M21/L21)</f>
        <v>0</v>
      </c>
      <c r="O21" s="1125">
        <f>SUM(O16:O20)</f>
        <v>0</v>
      </c>
      <c r="P21" s="1125">
        <f>SUM(P16:P20)</f>
        <v>0</v>
      </c>
      <c r="Q21" s="128">
        <f>+J21-K21</f>
        <v>0</v>
      </c>
      <c r="R21" s="128">
        <f>+O21+P21</f>
        <v>0</v>
      </c>
      <c r="S21" s="128">
        <f>+Q21-R21</f>
        <v>0</v>
      </c>
    </row>
    <row r="22" spans="1:20" s="9" customFormat="1" ht="18" customHeight="1">
      <c r="A22" s="126"/>
      <c r="B22" s="1117" t="s">
        <v>216</v>
      </c>
      <c r="C22" s="1118" t="s">
        <v>214</v>
      </c>
      <c r="D22" s="1119">
        <f>+$K$1</f>
        <v>46022</v>
      </c>
      <c r="E22" s="1120">
        <f>+SUM(E5:E21)/2</f>
        <v>14423076</v>
      </c>
      <c r="F22" s="1120"/>
      <c r="G22" s="1120">
        <f>+SUM(G5:G21)/2</f>
        <v>14999999.039999999</v>
      </c>
      <c r="H22" s="1120"/>
      <c r="I22" s="1120"/>
      <c r="J22" s="1120">
        <f>SUM(J5:J15)/2</f>
        <v>0</v>
      </c>
      <c r="K22" s="1120">
        <f>SUM(K5:K15)/2</f>
        <v>0</v>
      </c>
      <c r="L22" s="1121">
        <f>L15+L21</f>
        <v>14423076</v>
      </c>
      <c r="M22" s="1121">
        <f>M15+M21</f>
        <v>14999999.039999999</v>
      </c>
      <c r="N22" s="1121">
        <f>N15+N21</f>
        <v>1.04</v>
      </c>
      <c r="O22" s="1121">
        <f>SUM(O5:O21)/2</f>
        <v>0</v>
      </c>
      <c r="P22" s="1121">
        <f>SUM(P5:P21)/2</f>
        <v>0</v>
      </c>
      <c r="Q22" s="128">
        <f t="shared" ref="Q22" si="29">+J22-K22</f>
        <v>0</v>
      </c>
      <c r="R22" s="128">
        <f t="shared" ref="R22" si="30">+O22+P22</f>
        <v>0</v>
      </c>
      <c r="S22" s="132">
        <f>SUM(S5:S15)</f>
        <v>0</v>
      </c>
      <c r="T22" s="217"/>
    </row>
    <row r="23" spans="1:20">
      <c r="H23" s="220" t="s">
        <v>217</v>
      </c>
      <c r="J23" s="220" t="s">
        <v>218</v>
      </c>
      <c r="M23" s="221">
        <f>+G22-K22</f>
        <v>14999999.039999999</v>
      </c>
      <c r="N23" s="200" t="s">
        <v>219</v>
      </c>
      <c r="O23" s="236"/>
      <c r="P23" s="236"/>
      <c r="S23" s="103" t="str">
        <f>IF(ABS(S22)&gt;0.01,"ANOMALIE","OK")</f>
        <v>OK</v>
      </c>
      <c r="T23" s="103"/>
    </row>
    <row r="24" spans="1:20">
      <c r="J24" s="220" t="s">
        <v>72</v>
      </c>
      <c r="M24" s="222">
        <f>+M22-M23</f>
        <v>0</v>
      </c>
      <c r="N24" s="224" t="s">
        <v>220</v>
      </c>
      <c r="O24" s="236"/>
      <c r="P24" s="236"/>
    </row>
    <row r="25" spans="1:20">
      <c r="C25" s="223"/>
      <c r="J25" s="220" t="s">
        <v>221</v>
      </c>
      <c r="M25" s="221">
        <f>Inventaire!H30</f>
        <v>14999999.039999999</v>
      </c>
      <c r="N25" s="200" t="s">
        <v>72</v>
      </c>
      <c r="O25" s="222">
        <f>O22-O23+O24</f>
        <v>0</v>
      </c>
      <c r="P25" s="222">
        <f>P22-P23+P24</f>
        <v>0</v>
      </c>
    </row>
    <row r="26" spans="1:20">
      <c r="J26" s="220" t="s">
        <v>72</v>
      </c>
      <c r="M26" s="222">
        <f>+M22-M25</f>
        <v>0</v>
      </c>
      <c r="N26" s="200" t="s">
        <v>140</v>
      </c>
      <c r="O26" s="103" t="str">
        <f>IF(ABS(O25)&gt;0.01,"ANOMALIE","OK")</f>
        <v>OK</v>
      </c>
      <c r="P26" s="103" t="str">
        <f>IF(ABS(P25)&gt;0.01,"ANOMALIE","OK")</f>
        <v>OK</v>
      </c>
    </row>
    <row r="27" spans="1:20">
      <c r="N27" s="413" t="s">
        <v>222</v>
      </c>
      <c r="O27" s="236"/>
    </row>
    <row r="28" spans="1:20">
      <c r="M28" s="103"/>
      <c r="N28" s="224" t="s">
        <v>72</v>
      </c>
      <c r="O28" s="222">
        <f>O22+P22-O23-P23-O27</f>
        <v>0</v>
      </c>
    </row>
    <row r="29" spans="1:20">
      <c r="O29" s="103" t="str">
        <f>IF(ABS(O28)&lt;0.01,"OK","ANOMALIE")</f>
        <v>OK</v>
      </c>
    </row>
  </sheetData>
  <autoFilter ref="A4:V26" xr:uid="{00000000-0009-0000-0000-000007000000}"/>
  <mergeCells count="8">
    <mergeCell ref="Q3:Q4"/>
    <mergeCell ref="R3:R4"/>
    <mergeCell ref="S3:S4"/>
    <mergeCell ref="E3:G3"/>
    <mergeCell ref="H3:K3"/>
    <mergeCell ref="L3:N3"/>
    <mergeCell ref="O3:O4"/>
    <mergeCell ref="P3:P4"/>
  </mergeCells>
  <phoneticPr fontId="0" type="noConversion"/>
  <pageMargins left="0.31496062992125984" right="0.19685039370078741" top="0.39370078740157483" bottom="0" header="0.51181102362204722" footer="0.51181102362204722"/>
  <pageSetup paperSize="9" scale="22" fitToHeight="2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A8CF-441A-49D5-A2D2-4AD75403ABBF}">
  <sheetPr>
    <pageSetUpPr fitToPage="1"/>
  </sheetPr>
  <dimension ref="B1:S71"/>
  <sheetViews>
    <sheetView view="pageBreakPreview" zoomScaleNormal="100" zoomScaleSheetLayoutView="100" workbookViewId="0">
      <selection activeCell="G1" sqref="G1"/>
    </sheetView>
  </sheetViews>
  <sheetFormatPr defaultColWidth="13" defaultRowHeight="12.75"/>
  <cols>
    <col min="1" max="1" width="0.5703125" style="735" customWidth="1"/>
    <col min="2" max="3" width="12.42578125" style="735" customWidth="1"/>
    <col min="4" max="4" width="9.42578125" style="735" customWidth="1"/>
    <col min="5" max="5" width="9.5703125" style="735" customWidth="1"/>
    <col min="6" max="6" width="27.85546875" style="735" customWidth="1"/>
    <col min="7" max="7" width="18.5703125" style="735" customWidth="1"/>
    <col min="8" max="8" width="15.5703125" style="735" bestFit="1" customWidth="1"/>
    <col min="9" max="9" width="13.42578125" style="735" customWidth="1"/>
    <col min="10" max="10" width="14.5703125" style="735" customWidth="1"/>
    <col min="11" max="11" width="14.5703125" style="735" bestFit="1" customWidth="1"/>
    <col min="12" max="12" width="19.42578125" style="735" customWidth="1"/>
    <col min="13" max="13" width="1.5703125" style="735" customWidth="1"/>
    <col min="14" max="14" width="15" style="135" hidden="1" customWidth="1"/>
    <col min="15" max="15" width="0" style="735" hidden="1" customWidth="1"/>
    <col min="16" max="16" width="13.42578125" style="735" hidden="1" customWidth="1"/>
    <col min="17" max="16384" width="13" style="735"/>
  </cols>
  <sheetData>
    <row r="1" spans="2:15" s="729" customFormat="1" ht="15.75">
      <c r="B1" s="729" t="str">
        <f>Sommaire!A1</f>
        <v>SANCY - SLP</v>
      </c>
      <c r="C1" s="730"/>
      <c r="G1" s="730" t="s">
        <v>223</v>
      </c>
      <c r="I1" s="731">
        <f>Sommaire!C1</f>
        <v>46022</v>
      </c>
      <c r="J1" s="731"/>
      <c r="N1" s="732"/>
    </row>
    <row r="3" spans="2:15">
      <c r="B3" s="733" t="s">
        <v>224</v>
      </c>
      <c r="C3" s="511"/>
      <c r="D3" s="511"/>
      <c r="E3" s="511"/>
      <c r="F3" s="734" t="s">
        <v>225</v>
      </c>
      <c r="G3" s="521"/>
      <c r="H3" s="521"/>
      <c r="I3" s="521"/>
      <c r="J3" s="511"/>
      <c r="K3" s="511"/>
      <c r="N3" s="16"/>
      <c r="O3" s="736"/>
    </row>
    <row r="4" spans="2:15" ht="25.5">
      <c r="B4" s="1126" t="s">
        <v>226</v>
      </c>
      <c r="C4" s="1126" t="s">
        <v>227</v>
      </c>
      <c r="D4" s="1126" t="s">
        <v>228</v>
      </c>
      <c r="E4" s="1127" t="s">
        <v>229</v>
      </c>
      <c r="F4" s="1126" t="s">
        <v>230</v>
      </c>
      <c r="G4" s="1126" t="s">
        <v>231</v>
      </c>
      <c r="H4" s="1126" t="s">
        <v>232</v>
      </c>
      <c r="I4" s="1126" t="s">
        <v>233</v>
      </c>
      <c r="J4" s="1126" t="s">
        <v>234</v>
      </c>
      <c r="K4" s="1126" t="s">
        <v>235</v>
      </c>
      <c r="L4" s="1127" t="s">
        <v>236</v>
      </c>
      <c r="N4" s="16"/>
      <c r="O4" s="736"/>
    </row>
    <row r="5" spans="2:15">
      <c r="B5" s="1128"/>
      <c r="C5" s="1128"/>
      <c r="D5" s="1129"/>
      <c r="E5" s="1128"/>
      <c r="F5" s="1129"/>
      <c r="G5" s="1129"/>
      <c r="H5" s="1129"/>
      <c r="I5" s="1128"/>
      <c r="J5" s="1128"/>
      <c r="K5" s="1130"/>
      <c r="L5" s="1131"/>
      <c r="N5" s="16"/>
      <c r="O5" s="736"/>
    </row>
    <row r="6" spans="2:15">
      <c r="B6" s="874"/>
      <c r="C6" s="874"/>
      <c r="D6" s="737"/>
      <c r="E6" s="875"/>
      <c r="F6" s="874"/>
      <c r="G6" s="876"/>
      <c r="H6" s="738"/>
      <c r="I6" s="877"/>
      <c r="J6" s="878"/>
      <c r="K6" s="739"/>
      <c r="L6" s="879"/>
      <c r="N6" s="16"/>
      <c r="O6" s="736"/>
    </row>
    <row r="7" spans="2:15">
      <c r="B7" s="874"/>
      <c r="C7" s="874"/>
      <c r="D7" s="737"/>
      <c r="E7" s="875"/>
      <c r="F7" s="874"/>
      <c r="G7" s="876"/>
      <c r="H7" s="738"/>
      <c r="I7" s="877"/>
      <c r="J7" s="878"/>
      <c r="K7" s="739"/>
      <c r="L7" s="879"/>
      <c r="N7" s="16"/>
      <c r="O7" s="736"/>
    </row>
    <row r="8" spans="2:15" s="743" customFormat="1">
      <c r="B8" s="880"/>
      <c r="C8" s="880"/>
      <c r="D8" s="740"/>
      <c r="E8" s="881"/>
      <c r="F8" s="880"/>
      <c r="G8" s="882"/>
      <c r="H8" s="741"/>
      <c r="I8" s="883"/>
      <c r="J8" s="884"/>
      <c r="K8" s="742"/>
      <c r="L8" s="885"/>
      <c r="N8" s="137"/>
      <c r="O8" s="744"/>
    </row>
    <row r="9" spans="2:15">
      <c r="B9" s="874"/>
      <c r="C9" s="874"/>
      <c r="D9" s="737"/>
      <c r="E9" s="875"/>
      <c r="F9" s="874"/>
      <c r="G9" s="876"/>
      <c r="H9" s="738"/>
      <c r="I9" s="877"/>
      <c r="J9" s="878"/>
      <c r="K9" s="739"/>
      <c r="L9" s="879"/>
      <c r="N9" s="16"/>
      <c r="O9" s="736"/>
    </row>
    <row r="10" spans="2:15">
      <c r="B10" s="874"/>
      <c r="C10" s="874"/>
      <c r="D10" s="737"/>
      <c r="E10" s="875"/>
      <c r="F10" s="874"/>
      <c r="G10" s="876"/>
      <c r="H10" s="738"/>
      <c r="I10" s="877"/>
      <c r="J10" s="878"/>
      <c r="K10" s="739"/>
      <c r="L10" s="879"/>
      <c r="N10" s="16"/>
      <c r="O10" s="736"/>
    </row>
    <row r="11" spans="2:15" s="743" customFormat="1">
      <c r="B11" s="880"/>
      <c r="C11" s="880"/>
      <c r="D11" s="740"/>
      <c r="E11" s="881"/>
      <c r="F11" s="880"/>
      <c r="G11" s="882"/>
      <c r="H11" s="741"/>
      <c r="I11" s="883"/>
      <c r="J11" s="884"/>
      <c r="K11" s="742"/>
      <c r="L11" s="885"/>
      <c r="N11" s="137"/>
      <c r="O11" s="744"/>
    </row>
    <row r="12" spans="2:15">
      <c r="B12" s="874"/>
      <c r="C12" s="874"/>
      <c r="D12" s="737"/>
      <c r="E12" s="875"/>
      <c r="F12" s="874"/>
      <c r="G12" s="876"/>
      <c r="H12" s="738"/>
      <c r="I12" s="877"/>
      <c r="J12" s="878"/>
      <c r="K12" s="739"/>
      <c r="L12" s="879"/>
      <c r="N12" s="16"/>
      <c r="O12" s="736"/>
    </row>
    <row r="13" spans="2:15">
      <c r="B13" s="874"/>
      <c r="C13" s="874"/>
      <c r="D13" s="737"/>
      <c r="E13" s="875"/>
      <c r="F13" s="874"/>
      <c r="G13" s="876"/>
      <c r="H13" s="738"/>
      <c r="I13" s="877"/>
      <c r="J13" s="878"/>
      <c r="K13" s="739"/>
      <c r="L13" s="879"/>
      <c r="N13" s="16"/>
      <c r="O13" s="736"/>
    </row>
    <row r="14" spans="2:15" s="743" customFormat="1">
      <c r="B14" s="880"/>
      <c r="C14" s="880"/>
      <c r="D14" s="740"/>
      <c r="E14" s="881"/>
      <c r="F14" s="880"/>
      <c r="G14" s="882"/>
      <c r="H14" s="741"/>
      <c r="I14" s="883"/>
      <c r="J14" s="884"/>
      <c r="K14" s="742"/>
      <c r="L14" s="885"/>
      <c r="N14" s="137"/>
      <c r="O14" s="744"/>
    </row>
    <row r="15" spans="2:15">
      <c r="B15" s="874"/>
      <c r="C15" s="874"/>
      <c r="D15" s="737"/>
      <c r="E15" s="875"/>
      <c r="F15" s="874"/>
      <c r="G15" s="971"/>
      <c r="H15" s="738"/>
      <c r="I15" s="877"/>
      <c r="J15" s="877"/>
      <c r="K15" s="739"/>
      <c r="L15" s="879"/>
      <c r="N15" s="16"/>
      <c r="O15" s="736"/>
    </row>
    <row r="16" spans="2:15">
      <c r="B16" s="1132"/>
      <c r="C16" s="1132"/>
      <c r="D16" s="1133"/>
      <c r="E16" s="1134"/>
      <c r="F16" s="1132"/>
      <c r="G16" s="1135">
        <f>SUM(G5:G15)</f>
        <v>0</v>
      </c>
      <c r="H16" s="1135"/>
      <c r="I16" s="1132"/>
      <c r="J16" s="1132"/>
      <c r="K16" s="1136">
        <f>SUM(K6:K15)</f>
        <v>0</v>
      </c>
      <c r="L16" s="1136">
        <f>SUM(L6:L15)</f>
        <v>0</v>
      </c>
      <c r="N16" s="16"/>
      <c r="O16" s="736"/>
    </row>
    <row r="17" spans="2:19">
      <c r="C17" s="511"/>
      <c r="D17" s="511"/>
      <c r="G17" s="511"/>
      <c r="H17" s="511"/>
      <c r="J17" s="511"/>
      <c r="K17" s="511"/>
      <c r="N17" s="16"/>
      <c r="O17" s="736"/>
    </row>
    <row r="19" spans="2:19">
      <c r="B19" s="733" t="s">
        <v>224</v>
      </c>
      <c r="C19" s="511"/>
      <c r="D19" s="511"/>
      <c r="E19" s="511"/>
      <c r="F19" s="734" t="s">
        <v>237</v>
      </c>
      <c r="G19" s="521"/>
      <c r="H19" s="521"/>
      <c r="I19" s="521"/>
      <c r="J19" s="511"/>
      <c r="K19" s="511"/>
      <c r="N19" s="16"/>
      <c r="O19" s="736"/>
    </row>
    <row r="20" spans="2:19" ht="25.5">
      <c r="B20" s="1126" t="s">
        <v>226</v>
      </c>
      <c r="C20" s="1126" t="s">
        <v>227</v>
      </c>
      <c r="D20" s="1126" t="s">
        <v>228</v>
      </c>
      <c r="E20" s="1127" t="s">
        <v>229</v>
      </c>
      <c r="F20" s="1126" t="s">
        <v>230</v>
      </c>
      <c r="G20" s="1126" t="s">
        <v>231</v>
      </c>
      <c r="H20" s="1126" t="s">
        <v>232</v>
      </c>
      <c r="I20" s="1126" t="s">
        <v>238</v>
      </c>
      <c r="J20" s="1126" t="s">
        <v>239</v>
      </c>
      <c r="K20" s="1127" t="s">
        <v>236</v>
      </c>
      <c r="N20" s="16"/>
      <c r="O20" s="736"/>
    </row>
    <row r="21" spans="2:19">
      <c r="B21" s="1128"/>
      <c r="C21" s="1128"/>
      <c r="D21" s="1129"/>
      <c r="E21" s="1128"/>
      <c r="F21" s="1129"/>
      <c r="G21" s="1129"/>
      <c r="H21" s="1129"/>
      <c r="I21" s="1128"/>
      <c r="J21" s="1130"/>
      <c r="K21" s="1131"/>
      <c r="N21" s="16"/>
      <c r="O21" s="736"/>
    </row>
    <row r="22" spans="2:19">
      <c r="B22" s="874"/>
      <c r="C22" s="874"/>
      <c r="D22" s="737"/>
      <c r="E22" s="875"/>
      <c r="F22" s="745"/>
      <c r="G22" s="738"/>
      <c r="H22" s="738"/>
      <c r="I22" s="877"/>
      <c r="J22" s="746"/>
      <c r="K22" s="566"/>
      <c r="N22" s="16"/>
      <c r="O22" s="736"/>
    </row>
    <row r="23" spans="2:19">
      <c r="B23" s="874"/>
      <c r="C23" s="747"/>
      <c r="D23" s="737"/>
      <c r="E23" s="875"/>
      <c r="F23" s="874"/>
      <c r="G23" s="748"/>
      <c r="H23" s="738"/>
      <c r="I23" s="877"/>
      <c r="J23" s="746"/>
      <c r="K23" s="566"/>
      <c r="N23" s="16"/>
      <c r="O23" s="535"/>
    </row>
    <row r="24" spans="2:19">
      <c r="B24" s="874"/>
      <c r="C24" s="747"/>
      <c r="D24" s="737"/>
      <c r="E24" s="875"/>
      <c r="F24" s="749"/>
      <c r="G24" s="876"/>
      <c r="H24" s="738"/>
      <c r="I24" s="877"/>
      <c r="J24" s="746"/>
      <c r="K24" s="566"/>
      <c r="N24" s="16"/>
      <c r="O24" s="736"/>
      <c r="R24" s="750"/>
      <c r="S24" s="750"/>
    </row>
    <row r="25" spans="2:19">
      <c r="B25" s="874"/>
      <c r="C25" s="747"/>
      <c r="D25" s="737"/>
      <c r="E25" s="875"/>
      <c r="F25" s="749"/>
      <c r="G25" s="876"/>
      <c r="H25" s="738"/>
      <c r="I25" s="877"/>
      <c r="J25" s="746"/>
      <c r="K25" s="879"/>
      <c r="N25" s="16"/>
      <c r="O25" s="736"/>
      <c r="R25" s="750"/>
      <c r="S25" s="750"/>
    </row>
    <row r="26" spans="2:19">
      <c r="B26" s="874"/>
      <c r="C26" s="747"/>
      <c r="D26" s="737"/>
      <c r="E26" s="875"/>
      <c r="F26" s="745"/>
      <c r="G26" s="320"/>
      <c r="H26" s="738"/>
      <c r="I26" s="877"/>
      <c r="J26" s="746"/>
      <c r="K26" s="879"/>
      <c r="N26" s="16"/>
      <c r="O26" s="736"/>
      <c r="R26" s="750"/>
      <c r="S26" s="750"/>
    </row>
    <row r="27" spans="2:19">
      <c r="B27" s="874"/>
      <c r="C27" s="747"/>
      <c r="D27" s="737"/>
      <c r="E27" s="875"/>
      <c r="F27" s="749"/>
      <c r="G27" s="752"/>
      <c r="H27" s="738"/>
      <c r="I27" s="877"/>
      <c r="J27" s="746"/>
      <c r="K27" s="879"/>
      <c r="N27" s="16"/>
      <c r="O27" s="736"/>
      <c r="R27" s="750"/>
      <c r="S27" s="750"/>
    </row>
    <row r="28" spans="2:19">
      <c r="B28" s="874"/>
      <c r="C28" s="747"/>
      <c r="D28" s="737"/>
      <c r="E28" s="875"/>
      <c r="F28" s="749"/>
      <c r="G28" s="752"/>
      <c r="H28" s="738"/>
      <c r="I28" s="877"/>
      <c r="J28" s="746"/>
      <c r="K28" s="879"/>
      <c r="N28" s="16"/>
      <c r="O28" s="736"/>
      <c r="R28" s="750"/>
      <c r="S28" s="750"/>
    </row>
    <row r="29" spans="2:19">
      <c r="B29" s="874"/>
      <c r="C29" s="874"/>
      <c r="D29" s="737"/>
      <c r="E29" s="875"/>
      <c r="F29" s="749"/>
      <c r="G29" s="752"/>
      <c r="H29" s="738"/>
      <c r="I29" s="877"/>
      <c r="J29" s="746"/>
      <c r="K29" s="879"/>
      <c r="N29" s="16"/>
      <c r="O29" s="736"/>
      <c r="P29" s="750"/>
      <c r="R29" s="750"/>
      <c r="S29" s="750"/>
    </row>
    <row r="30" spans="2:19">
      <c r="B30" s="874"/>
      <c r="C30" s="747"/>
      <c r="D30" s="737"/>
      <c r="E30" s="875"/>
      <c r="F30" s="749"/>
      <c r="G30" s="752"/>
      <c r="H30" s="738"/>
      <c r="I30" s="877"/>
      <c r="J30" s="746"/>
      <c r="K30" s="879"/>
      <c r="N30" s="16"/>
      <c r="O30" s="736"/>
      <c r="R30" s="750"/>
      <c r="S30" s="750"/>
    </row>
    <row r="31" spans="2:19">
      <c r="B31" s="886"/>
      <c r="C31" s="753"/>
      <c r="D31" s="754"/>
      <c r="E31" s="887"/>
      <c r="F31" s="755"/>
      <c r="G31" s="756"/>
      <c r="H31" s="757"/>
      <c r="I31" s="888"/>
      <c r="J31" s="758"/>
      <c r="K31" s="889"/>
      <c r="N31" s="16"/>
      <c r="O31" s="736"/>
      <c r="R31" s="750"/>
      <c r="S31" s="750"/>
    </row>
    <row r="32" spans="2:19">
      <c r="B32" s="874"/>
      <c r="C32" s="747"/>
      <c r="D32" s="737"/>
      <c r="E32" s="875"/>
      <c r="F32" s="749"/>
      <c r="G32" s="759"/>
      <c r="H32" s="738"/>
      <c r="I32" s="877"/>
      <c r="J32" s="746"/>
      <c r="K32" s="879"/>
      <c r="N32" s="16"/>
      <c r="O32" s="736"/>
      <c r="R32" s="750"/>
      <c r="S32" s="750"/>
    </row>
    <row r="33" spans="2:19">
      <c r="B33" s="874"/>
      <c r="C33" s="747"/>
      <c r="D33" s="737"/>
      <c r="E33" s="875"/>
      <c r="F33" s="749"/>
      <c r="G33" s="759"/>
      <c r="H33" s="738"/>
      <c r="I33" s="877"/>
      <c r="J33" s="746"/>
      <c r="K33" s="879"/>
      <c r="N33" s="16"/>
      <c r="O33" s="736"/>
      <c r="R33" s="750"/>
      <c r="S33" s="750"/>
    </row>
    <row r="34" spans="2:19">
      <c r="B34" s="874"/>
      <c r="C34" s="747"/>
      <c r="D34" s="737"/>
      <c r="E34" s="875"/>
      <c r="F34" s="749"/>
      <c r="G34" s="759"/>
      <c r="H34" s="738"/>
      <c r="I34" s="877"/>
      <c r="J34" s="746"/>
      <c r="K34" s="566"/>
      <c r="N34" s="16"/>
      <c r="O34" s="736"/>
      <c r="R34" s="750"/>
      <c r="S34" s="750"/>
    </row>
    <row r="35" spans="2:19">
      <c r="B35" s="874"/>
      <c r="C35" s="747"/>
      <c r="D35" s="737"/>
      <c r="E35" s="875"/>
      <c r="F35" s="749"/>
      <c r="G35" s="760"/>
      <c r="H35" s="761"/>
      <c r="I35" s="877"/>
      <c r="J35" s="746"/>
      <c r="K35" s="566"/>
      <c r="N35" s="16"/>
      <c r="O35" s="566"/>
      <c r="R35" s="750"/>
      <c r="S35" s="750"/>
    </row>
    <row r="36" spans="2:19">
      <c r="B36" s="874"/>
      <c r="C36" s="747"/>
      <c r="D36" s="737"/>
      <c r="E36" s="875"/>
      <c r="F36" s="749"/>
      <c r="G36" s="760"/>
      <c r="H36" s="738"/>
      <c r="I36" s="877"/>
      <c r="J36" s="746"/>
      <c r="K36" s="566"/>
      <c r="N36" s="16"/>
      <c r="O36" s="762"/>
    </row>
    <row r="37" spans="2:19">
      <c r="B37" s="886"/>
      <c r="C37" s="753"/>
      <c r="D37" s="754"/>
      <c r="E37" s="887"/>
      <c r="F37" s="755"/>
      <c r="G37" s="763"/>
      <c r="H37" s="757"/>
      <c r="I37" s="888"/>
      <c r="J37" s="890"/>
      <c r="K37" s="890"/>
      <c r="N37" s="16"/>
      <c r="O37" s="762"/>
    </row>
    <row r="38" spans="2:19">
      <c r="B38" s="874"/>
      <c r="C38" s="747"/>
      <c r="D38" s="737"/>
      <c r="E38" s="875"/>
      <c r="F38" s="749"/>
      <c r="G38" s="760"/>
      <c r="H38" s="738"/>
      <c r="I38" s="877"/>
      <c r="J38" s="746"/>
      <c r="K38" s="566"/>
      <c r="N38" s="16"/>
      <c r="O38" s="762"/>
    </row>
    <row r="39" spans="2:19">
      <c r="B39" s="874"/>
      <c r="C39" s="747"/>
      <c r="D39" s="737"/>
      <c r="E39" s="875"/>
      <c r="F39" s="749"/>
      <c r="G39" s="760"/>
      <c r="H39" s="738"/>
      <c r="I39" s="877"/>
      <c r="J39" s="746"/>
      <c r="K39" s="566"/>
      <c r="N39" s="16"/>
      <c r="O39" s="762"/>
    </row>
    <row r="40" spans="2:19">
      <c r="B40" s="886"/>
      <c r="C40" s="753"/>
      <c r="D40" s="754"/>
      <c r="E40" s="887"/>
      <c r="F40" s="755"/>
      <c r="G40" s="763"/>
      <c r="H40" s="757"/>
      <c r="I40" s="888"/>
      <c r="J40" s="758"/>
      <c r="K40" s="890"/>
      <c r="N40" s="16"/>
      <c r="O40" s="762"/>
    </row>
    <row r="41" spans="2:19">
      <c r="B41" s="874"/>
      <c r="C41" s="747"/>
      <c r="D41" s="737"/>
      <c r="E41" s="875"/>
      <c r="F41" s="749"/>
      <c r="G41" s="760"/>
      <c r="H41" s="738"/>
      <c r="I41" s="877"/>
      <c r="J41" s="746"/>
      <c r="K41" s="566"/>
      <c r="N41" s="16"/>
      <c r="O41" s="762"/>
    </row>
    <row r="42" spans="2:19">
      <c r="B42" s="874"/>
      <c r="C42" s="747"/>
      <c r="D42" s="737"/>
      <c r="E42" s="875"/>
      <c r="F42" s="749"/>
      <c r="G42" s="760"/>
      <c r="H42" s="738"/>
      <c r="I42" s="877"/>
      <c r="J42" s="746"/>
      <c r="K42" s="566"/>
      <c r="N42" s="16"/>
      <c r="O42" s="762"/>
    </row>
    <row r="43" spans="2:19" s="767" customFormat="1">
      <c r="B43" s="891"/>
      <c r="C43" s="764"/>
      <c r="D43" s="765"/>
      <c r="E43" s="892"/>
      <c r="F43" s="749"/>
      <c r="G43" s="759"/>
      <c r="H43" s="598"/>
      <c r="I43" s="893"/>
      <c r="J43" s="766"/>
      <c r="K43" s="894"/>
      <c r="N43" s="23"/>
      <c r="O43" s="768"/>
    </row>
    <row r="44" spans="2:19" s="767" customFormat="1">
      <c r="B44" s="891"/>
      <c r="C44" s="764"/>
      <c r="D44" s="765"/>
      <c r="E44" s="892"/>
      <c r="F44" s="749"/>
      <c r="G44" s="759"/>
      <c r="H44" s="598"/>
      <c r="I44" s="893"/>
      <c r="J44" s="766"/>
      <c r="K44" s="894"/>
      <c r="N44" s="23"/>
      <c r="O44" s="768"/>
      <c r="Q44" s="769"/>
    </row>
    <row r="45" spans="2:19" s="770" customFormat="1">
      <c r="B45" s="874"/>
      <c r="C45" s="747"/>
      <c r="D45" s="737"/>
      <c r="E45" s="875"/>
      <c r="F45" s="749"/>
      <c r="G45" s="760"/>
      <c r="H45" s="761"/>
      <c r="I45" s="877"/>
      <c r="J45" s="739"/>
      <c r="K45" s="889"/>
      <c r="L45" s="735"/>
      <c r="N45" s="771"/>
      <c r="O45" s="772"/>
    </row>
    <row r="46" spans="2:19" s="770" customFormat="1">
      <c r="B46" s="874"/>
      <c r="C46" s="747"/>
      <c r="D46" s="737"/>
      <c r="E46" s="875"/>
      <c r="F46" s="749"/>
      <c r="G46" s="760"/>
      <c r="H46" s="761"/>
      <c r="I46" s="877"/>
      <c r="J46" s="739"/>
      <c r="K46" s="879"/>
      <c r="L46" s="735"/>
      <c r="N46" s="771"/>
      <c r="O46" s="772"/>
    </row>
    <row r="47" spans="2:19">
      <c r="B47" s="874"/>
      <c r="C47" s="747"/>
      <c r="D47" s="737"/>
      <c r="E47" s="875"/>
      <c r="F47" s="749"/>
      <c r="G47" s="760"/>
      <c r="H47" s="738"/>
      <c r="I47" s="877"/>
      <c r="J47" s="746"/>
      <c r="K47" s="566"/>
      <c r="N47" s="16"/>
      <c r="O47" s="762"/>
      <c r="Q47" s="773"/>
    </row>
    <row r="48" spans="2:19">
      <c r="B48" s="874"/>
      <c r="C48" s="747"/>
      <c r="D48" s="737"/>
      <c r="E48" s="875"/>
      <c r="F48" s="749"/>
      <c r="G48" s="760"/>
      <c r="H48" s="738"/>
      <c r="I48" s="877"/>
      <c r="J48" s="746"/>
      <c r="K48" s="566"/>
      <c r="N48" s="16"/>
      <c r="O48" s="762"/>
      <c r="S48" s="750"/>
    </row>
    <row r="49" spans="2:19">
      <c r="B49" s="874"/>
      <c r="C49" s="747"/>
      <c r="D49" s="737"/>
      <c r="E49" s="875"/>
      <c r="F49" s="749"/>
      <c r="G49" s="760"/>
      <c r="H49" s="738"/>
      <c r="I49" s="877"/>
      <c r="J49" s="746"/>
      <c r="K49" s="566"/>
      <c r="N49" s="16"/>
      <c r="O49" s="762"/>
      <c r="S49" s="774"/>
    </row>
    <row r="50" spans="2:19">
      <c r="B50" s="874"/>
      <c r="C50" s="747"/>
      <c r="D50" s="737"/>
      <c r="E50" s="892"/>
      <c r="F50" s="749"/>
      <c r="G50" s="760"/>
      <c r="H50" s="738"/>
      <c r="I50" s="893"/>
      <c r="J50" s="766"/>
      <c r="K50" s="894"/>
      <c r="N50" s="16"/>
      <c r="O50" s="762"/>
      <c r="S50" s="774"/>
    </row>
    <row r="51" spans="2:19">
      <c r="B51" s="874"/>
      <c r="C51" s="747"/>
      <c r="D51" s="737"/>
      <c r="E51" s="892"/>
      <c r="F51" s="749"/>
      <c r="G51" s="760"/>
      <c r="H51" s="738"/>
      <c r="I51" s="893"/>
      <c r="J51" s="766"/>
      <c r="K51" s="894"/>
      <c r="N51" s="16"/>
      <c r="O51" s="762"/>
      <c r="Q51" s="773"/>
    </row>
    <row r="52" spans="2:19">
      <c r="B52" s="874"/>
      <c r="C52" s="747"/>
      <c r="D52" s="737"/>
      <c r="E52" s="892"/>
      <c r="F52" s="749"/>
      <c r="G52" s="760"/>
      <c r="H52" s="738"/>
      <c r="I52" s="893"/>
      <c r="J52" s="766"/>
      <c r="K52" s="894"/>
      <c r="N52" s="16"/>
      <c r="O52" s="762"/>
      <c r="Q52" s="773"/>
    </row>
    <row r="53" spans="2:19">
      <c r="B53" s="753"/>
      <c r="C53" s="753"/>
      <c r="D53" s="737"/>
      <c r="E53" s="892"/>
      <c r="F53" s="749"/>
      <c r="G53" s="760"/>
      <c r="H53" s="738"/>
      <c r="I53" s="893"/>
      <c r="J53" s="766"/>
      <c r="K53" s="890"/>
      <c r="N53" s="16"/>
      <c r="O53" s="762"/>
      <c r="Q53" s="773"/>
    </row>
    <row r="54" spans="2:19">
      <c r="B54" s="747"/>
      <c r="C54" s="747"/>
      <c r="D54" s="737"/>
      <c r="E54" s="892"/>
      <c r="F54" s="749"/>
      <c r="G54" s="760"/>
      <c r="H54" s="738"/>
      <c r="I54" s="893"/>
      <c r="J54" s="766"/>
      <c r="K54" s="894"/>
      <c r="N54" s="16"/>
      <c r="O54" s="762"/>
      <c r="Q54" s="773"/>
    </row>
    <row r="55" spans="2:19">
      <c r="B55" s="747"/>
      <c r="C55" s="747"/>
      <c r="D55" s="737"/>
      <c r="E55" s="892"/>
      <c r="F55" s="749"/>
      <c r="G55" s="760"/>
      <c r="H55" s="738"/>
      <c r="I55" s="893"/>
      <c r="J55" s="766"/>
      <c r="K55" s="894"/>
      <c r="N55" s="16"/>
      <c r="O55" s="762"/>
      <c r="Q55" s="773"/>
    </row>
    <row r="56" spans="2:19">
      <c r="B56" s="753"/>
      <c r="C56" s="753"/>
      <c r="D56" s="737"/>
      <c r="E56" s="892"/>
      <c r="F56" s="749"/>
      <c r="G56" s="760"/>
      <c r="H56" s="738"/>
      <c r="I56" s="893"/>
      <c r="J56" s="766"/>
      <c r="K56" s="890"/>
      <c r="N56" s="16"/>
      <c r="O56" s="762"/>
      <c r="Q56" s="773"/>
    </row>
    <row r="57" spans="2:19">
      <c r="B57" s="747"/>
      <c r="C57" s="747"/>
      <c r="D57" s="737"/>
      <c r="E57" s="892"/>
      <c r="F57" s="749"/>
      <c r="G57" s="760"/>
      <c r="H57" s="738"/>
      <c r="I57" s="893"/>
      <c r="J57" s="766"/>
      <c r="K57" s="894"/>
      <c r="N57" s="16"/>
      <c r="O57" s="762"/>
      <c r="Q57" s="773"/>
    </row>
    <row r="58" spans="2:19">
      <c r="B58" s="747"/>
      <c r="C58" s="747"/>
      <c r="D58" s="737"/>
      <c r="E58" s="892"/>
      <c r="F58" s="749"/>
      <c r="G58" s="760"/>
      <c r="H58" s="738"/>
      <c r="I58" s="893"/>
      <c r="J58" s="766"/>
      <c r="K58" s="894"/>
      <c r="N58" s="16"/>
      <c r="O58" s="762"/>
    </row>
    <row r="59" spans="2:19">
      <c r="B59" s="747"/>
      <c r="C59" s="747"/>
      <c r="D59" s="737"/>
      <c r="E59" s="892"/>
      <c r="F59" s="749"/>
      <c r="G59" s="760"/>
      <c r="H59" s="738"/>
      <c r="I59" s="893"/>
      <c r="J59" s="766"/>
      <c r="K59" s="894"/>
      <c r="N59" s="16"/>
      <c r="O59" s="762"/>
    </row>
    <row r="60" spans="2:19">
      <c r="B60" s="753"/>
      <c r="C60" s="753"/>
      <c r="D60" s="737"/>
      <c r="E60" s="892"/>
      <c r="F60" s="749"/>
      <c r="G60" s="760"/>
      <c r="H60" s="738"/>
      <c r="I60" s="893"/>
      <c r="J60" s="766"/>
      <c r="K60" s="890"/>
      <c r="N60" s="16"/>
      <c r="O60" s="762"/>
    </row>
    <row r="61" spans="2:19">
      <c r="B61" s="747"/>
      <c r="C61" s="747"/>
      <c r="D61" s="737"/>
      <c r="E61" s="892"/>
      <c r="F61" s="749"/>
      <c r="G61" s="760"/>
      <c r="H61" s="738"/>
      <c r="I61" s="893"/>
      <c r="J61" s="766"/>
      <c r="K61" s="894"/>
      <c r="N61" s="16"/>
      <c r="O61" s="762"/>
    </row>
    <row r="62" spans="2:19">
      <c r="B62" s="747"/>
      <c r="C62" s="747"/>
      <c r="D62" s="737"/>
      <c r="E62" s="892"/>
      <c r="F62" s="749"/>
      <c r="G62" s="760"/>
      <c r="H62" s="738"/>
      <c r="I62" s="893"/>
      <c r="J62" s="766"/>
      <c r="K62" s="894"/>
      <c r="N62" s="16"/>
      <c r="O62" s="762"/>
    </row>
    <row r="63" spans="2:19">
      <c r="B63" s="747"/>
      <c r="C63" s="747"/>
      <c r="D63" s="737"/>
      <c r="E63" s="892"/>
      <c r="F63" s="749"/>
      <c r="G63" s="760"/>
      <c r="H63" s="738"/>
      <c r="I63" s="893"/>
      <c r="J63" s="766"/>
      <c r="K63" s="894"/>
      <c r="N63" s="16"/>
      <c r="O63" s="762"/>
    </row>
    <row r="64" spans="2:19">
      <c r="B64" s="874"/>
      <c r="C64" s="747"/>
      <c r="D64" s="737"/>
      <c r="E64" s="875"/>
      <c r="F64" s="749"/>
      <c r="G64" s="760"/>
      <c r="H64" s="738"/>
      <c r="I64" s="877"/>
      <c r="J64" s="746"/>
      <c r="K64" s="566"/>
      <c r="N64" s="16"/>
      <c r="O64" s="762"/>
      <c r="R64" s="774"/>
    </row>
    <row r="65" spans="2:18">
      <c r="B65" s="1132"/>
      <c r="C65" s="1132"/>
      <c r="D65" s="1133"/>
      <c r="E65" s="1134"/>
      <c r="F65" s="1132"/>
      <c r="G65" s="1135">
        <f>G54</f>
        <v>0</v>
      </c>
      <c r="H65" s="1135">
        <f>+H26</f>
        <v>0</v>
      </c>
      <c r="I65" s="1132"/>
      <c r="J65" s="1136">
        <f>SUM(J22:J64)</f>
        <v>0</v>
      </c>
      <c r="K65" s="1136">
        <f>SUM(K57:K64)</f>
        <v>0</v>
      </c>
      <c r="N65" s="16"/>
      <c r="O65" s="736"/>
    </row>
    <row r="67" spans="2:18">
      <c r="L67" s="511"/>
    </row>
    <row r="68" spans="2:18">
      <c r="J68" s="735" t="s">
        <v>240</v>
      </c>
      <c r="K68" s="1137">
        <f>+K65+L16</f>
        <v>0</v>
      </c>
      <c r="L68" s="511"/>
      <c r="R68" s="775"/>
    </row>
    <row r="69" spans="2:18">
      <c r="J69" s="735" t="s">
        <v>241</v>
      </c>
      <c r="K69" s="1137">
        <f>+G16</f>
        <v>0</v>
      </c>
      <c r="L69" s="511"/>
    </row>
    <row r="70" spans="2:18">
      <c r="B70" s="773"/>
    </row>
    <row r="71" spans="2:18">
      <c r="B71" s="773"/>
    </row>
  </sheetData>
  <pageMargins left="0.39370078740157483" right="0.39370078740157483" top="0.98425196850393704" bottom="0.98425196850393704" header="0.51181102362204722" footer="0.51181102362204722"/>
  <pageSetup paperSize="9" scale="58" orientation="portrait" r:id="rId1"/>
  <colBreaks count="1" manualBreakCount="1">
    <brk id="12" max="8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0CE7-2111-4F80-8AF6-CF829D77AD57}">
  <dimension ref="B1:N72"/>
  <sheetViews>
    <sheetView view="pageBreakPreview" zoomScaleNormal="100" zoomScaleSheetLayoutView="100" workbookViewId="0">
      <selection activeCell="G11" sqref="G11"/>
    </sheetView>
  </sheetViews>
  <sheetFormatPr defaultColWidth="11.42578125" defaultRowHeight="14.25"/>
  <cols>
    <col min="1" max="1" width="1.140625" style="264" customWidth="1"/>
    <col min="2" max="2" width="14.42578125" style="264" customWidth="1"/>
    <col min="3" max="3" width="14" style="264" customWidth="1"/>
    <col min="4" max="4" width="16.42578125" style="264" customWidth="1"/>
    <col min="5" max="5" width="11.85546875" style="264" customWidth="1"/>
    <col min="6" max="6" width="12.85546875" style="264" customWidth="1"/>
    <col min="7" max="7" width="19.85546875" style="264" customWidth="1"/>
    <col min="8" max="8" width="16.85546875" style="264" customWidth="1"/>
    <col min="9" max="9" width="9.5703125" style="264" customWidth="1"/>
    <col min="10" max="10" width="13.5703125" style="264" customWidth="1"/>
    <col min="11" max="11" width="29.42578125" style="264" customWidth="1"/>
    <col min="12" max="12" width="15.85546875" style="264" customWidth="1"/>
    <col min="13" max="13" width="2.140625" style="264" customWidth="1"/>
    <col min="14" max="14" width="12.85546875" style="264" bestFit="1" customWidth="1"/>
    <col min="15" max="15" width="15.85546875" style="264" customWidth="1"/>
    <col min="16" max="16384" width="11.42578125" style="264"/>
  </cols>
  <sheetData>
    <row r="1" spans="2:14" ht="15.75">
      <c r="B1" s="264" t="str">
        <f>PVMV!B1</f>
        <v>SANCY - SLP</v>
      </c>
      <c r="E1" s="990" t="s">
        <v>242</v>
      </c>
      <c r="F1" s="990"/>
      <c r="G1" s="990"/>
      <c r="H1" s="990"/>
      <c r="K1" s="81">
        <f>+Sommaire!C1</f>
        <v>46022</v>
      </c>
    </row>
    <row r="2" spans="2:14">
      <c r="E2" s="265"/>
      <c r="F2" s="265"/>
      <c r="G2" s="265"/>
      <c r="H2" s="265"/>
    </row>
    <row r="3" spans="2:14" s="268" customFormat="1"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6"/>
      <c r="M3" s="267"/>
    </row>
    <row r="5" spans="2:14" ht="15">
      <c r="B5" s="269"/>
      <c r="G5" s="270"/>
    </row>
    <row r="6" spans="2:14" ht="30">
      <c r="B6" s="1138" t="s">
        <v>226</v>
      </c>
      <c r="C6" s="1138" t="s">
        <v>227</v>
      </c>
      <c r="D6" s="1138" t="s">
        <v>230</v>
      </c>
      <c r="E6" s="1138" t="s">
        <v>228</v>
      </c>
      <c r="F6" s="1139" t="s">
        <v>229</v>
      </c>
      <c r="G6" s="1138" t="s">
        <v>231</v>
      </c>
      <c r="H6" s="1138" t="s">
        <v>232</v>
      </c>
      <c r="I6" s="1138" t="s">
        <v>238</v>
      </c>
      <c r="J6" s="1138" t="s">
        <v>239</v>
      </c>
      <c r="K6" s="1138" t="s">
        <v>236</v>
      </c>
      <c r="L6" s="1138" t="s">
        <v>243</v>
      </c>
      <c r="N6" s="271"/>
    </row>
    <row r="7" spans="2:14" ht="15">
      <c r="B7" s="1140"/>
      <c r="C7" s="1140"/>
      <c r="D7" s="1141"/>
      <c r="E7" s="1141"/>
      <c r="F7" s="1140"/>
      <c r="G7" s="1141"/>
      <c r="H7" s="1141"/>
      <c r="I7" s="1140"/>
      <c r="J7" s="1142"/>
      <c r="K7" s="330"/>
      <c r="L7" s="330"/>
      <c r="N7" s="271"/>
    </row>
    <row r="8" spans="2:14">
      <c r="B8" s="331">
        <v>45008</v>
      </c>
      <c r="C8" s="272">
        <v>45107</v>
      </c>
      <c r="D8" s="895" t="s">
        <v>244</v>
      </c>
      <c r="E8" s="896">
        <f>+C8-B8</f>
        <v>99</v>
      </c>
      <c r="F8" s="332">
        <v>365</v>
      </c>
      <c r="G8" s="897"/>
      <c r="H8" s="897">
        <f>+G8+H7</f>
        <v>0</v>
      </c>
      <c r="I8" s="333"/>
      <c r="J8" s="898">
        <f>ROUND((H8)*I8*E8/F8,2)</f>
        <v>0</v>
      </c>
      <c r="K8" s="330">
        <f>J8</f>
        <v>0</v>
      </c>
      <c r="L8" s="330"/>
      <c r="N8" s="271"/>
    </row>
    <row r="9" spans="2:14">
      <c r="B9" s="637"/>
      <c r="C9" s="272"/>
      <c r="D9" s="895"/>
      <c r="E9" s="896">
        <f t="shared" ref="E9:E13" si="0">+C9-B9</f>
        <v>0</v>
      </c>
      <c r="F9" s="332">
        <v>365</v>
      </c>
      <c r="H9" s="897">
        <f>+G9+H8</f>
        <v>0</v>
      </c>
      <c r="I9" s="333"/>
      <c r="J9" s="898">
        <f>ROUND((H9)*I9*E9/F9,2)</f>
        <v>0</v>
      </c>
      <c r="K9" s="330">
        <f t="shared" ref="K9" si="1">J9</f>
        <v>0</v>
      </c>
      <c r="L9" s="330"/>
      <c r="N9" s="271"/>
    </row>
    <row r="10" spans="2:14">
      <c r="B10" s="331"/>
      <c r="C10" s="331"/>
      <c r="D10" s="334"/>
      <c r="E10" s="896">
        <f t="shared" si="0"/>
        <v>0</v>
      </c>
      <c r="F10" s="332">
        <v>365</v>
      </c>
      <c r="G10" s="897"/>
      <c r="H10" s="897">
        <f>+G10+H9</f>
        <v>0</v>
      </c>
      <c r="I10" s="333"/>
      <c r="J10" s="898">
        <f t="shared" ref="J10:J13" si="2">ROUND((H10)*I10*E10/F10,2)</f>
        <v>0</v>
      </c>
      <c r="K10" s="330">
        <f t="shared" ref="K10:K13" si="3">J10</f>
        <v>0</v>
      </c>
      <c r="L10" s="330"/>
      <c r="N10" s="271"/>
    </row>
    <row r="11" spans="2:14">
      <c r="B11" s="331"/>
      <c r="C11" s="331"/>
      <c r="D11" s="895"/>
      <c r="E11" s="896">
        <f t="shared" si="0"/>
        <v>0</v>
      </c>
      <c r="F11" s="332">
        <v>365</v>
      </c>
      <c r="G11" s="897"/>
      <c r="H11" s="897">
        <f t="shared" ref="H11:H14" si="4">+G11+H10</f>
        <v>0</v>
      </c>
      <c r="I11" s="333"/>
      <c r="J11" s="898">
        <f t="shared" si="2"/>
        <v>0</v>
      </c>
      <c r="K11" s="330">
        <f t="shared" si="3"/>
        <v>0</v>
      </c>
      <c r="L11" s="330"/>
      <c r="N11" s="271"/>
    </row>
    <row r="12" spans="2:14">
      <c r="B12" s="331"/>
      <c r="C12" s="272"/>
      <c r="D12" s="895"/>
      <c r="E12" s="896">
        <f t="shared" si="0"/>
        <v>0</v>
      </c>
      <c r="F12" s="332">
        <v>365</v>
      </c>
      <c r="G12" s="897"/>
      <c r="H12" s="897">
        <f t="shared" si="4"/>
        <v>0</v>
      </c>
      <c r="I12" s="333"/>
      <c r="J12" s="898">
        <f t="shared" si="2"/>
        <v>0</v>
      </c>
      <c r="K12" s="330">
        <f t="shared" si="3"/>
        <v>0</v>
      </c>
      <c r="L12" s="330"/>
      <c r="N12" s="273"/>
    </row>
    <row r="13" spans="2:14">
      <c r="B13" s="331"/>
      <c r="C13" s="331"/>
      <c r="D13" s="895"/>
      <c r="E13" s="896">
        <f t="shared" si="0"/>
        <v>0</v>
      </c>
      <c r="F13" s="332">
        <v>365</v>
      </c>
      <c r="G13" s="897"/>
      <c r="H13" s="897">
        <f t="shared" si="4"/>
        <v>0</v>
      </c>
      <c r="I13" s="333"/>
      <c r="J13" s="898">
        <f t="shared" si="2"/>
        <v>0</v>
      </c>
      <c r="K13" s="330">
        <f t="shared" si="3"/>
        <v>0</v>
      </c>
      <c r="L13" s="330"/>
      <c r="N13" s="273"/>
    </row>
    <row r="14" spans="2:14" s="270" customFormat="1" ht="15">
      <c r="B14" s="972"/>
      <c r="C14" s="335"/>
      <c r="D14" s="895"/>
      <c r="E14" s="896"/>
      <c r="F14" s="332"/>
      <c r="G14" s="899"/>
      <c r="H14" s="900">
        <f t="shared" si="4"/>
        <v>0</v>
      </c>
      <c r="I14" s="336"/>
      <c r="J14" s="901"/>
      <c r="K14" s="901"/>
      <c r="L14" s="337"/>
      <c r="N14" s="274"/>
    </row>
    <row r="15" spans="2:14" ht="15">
      <c r="B15" s="1143"/>
      <c r="C15" s="1144"/>
      <c r="D15" s="1144"/>
      <c r="E15" s="1145">
        <f>SUM(E8:E12)</f>
        <v>99</v>
      </c>
      <c r="F15" s="1146"/>
      <c r="G15" s="1147">
        <f>+G11</f>
        <v>0</v>
      </c>
      <c r="H15" s="1147">
        <f>H14</f>
        <v>0</v>
      </c>
      <c r="I15" s="1144"/>
      <c r="J15" s="1148">
        <f>SUM(J8:J14)</f>
        <v>0</v>
      </c>
      <c r="K15" s="1148">
        <f>SUM(K8:K14)</f>
        <v>0</v>
      </c>
      <c r="L15" s="1148">
        <f>SUM(L8:L12)</f>
        <v>0</v>
      </c>
      <c r="N15" s="273"/>
    </row>
    <row r="16" spans="2:14">
      <c r="H16" s="275" t="s">
        <v>245</v>
      </c>
      <c r="I16" s="1149">
        <v>1</v>
      </c>
      <c r="J16" s="1150">
        <f>-J15</f>
        <v>0</v>
      </c>
      <c r="K16" s="1150">
        <f>-K15</f>
        <v>0</v>
      </c>
    </row>
    <row r="17" spans="2:14">
      <c r="H17" s="276" t="s">
        <v>246</v>
      </c>
      <c r="I17" s="38"/>
      <c r="J17" s="38">
        <f>J15+J16</f>
        <v>0</v>
      </c>
      <c r="K17" s="38">
        <f>K15+K16</f>
        <v>0</v>
      </c>
    </row>
    <row r="18" spans="2:14">
      <c r="B18" s="264" t="s">
        <v>247</v>
      </c>
      <c r="N18" s="277"/>
    </row>
    <row r="19" spans="2:14">
      <c r="B19" s="991" t="s">
        <v>248</v>
      </c>
      <c r="C19" s="992"/>
      <c r="D19" s="992"/>
      <c r="E19" s="992"/>
      <c r="F19" s="992"/>
      <c r="G19" s="992"/>
      <c r="H19" s="992"/>
      <c r="I19" s="992"/>
      <c r="J19" s="992"/>
      <c r="K19" s="992"/>
    </row>
    <row r="20" spans="2:14">
      <c r="B20" s="264" t="s">
        <v>249</v>
      </c>
    </row>
    <row r="21" spans="2:14">
      <c r="B21" s="264" t="s">
        <v>250</v>
      </c>
    </row>
    <row r="25" spans="2:14" ht="15">
      <c r="B25" s="269"/>
      <c r="G25" s="270"/>
    </row>
    <row r="26" spans="2:14" ht="1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</row>
    <row r="27" spans="2:14" ht="15">
      <c r="B27" s="300"/>
      <c r="C27" s="300"/>
      <c r="D27" s="300"/>
      <c r="E27" s="300"/>
      <c r="F27" s="300"/>
      <c r="G27" s="300"/>
      <c r="H27" s="300"/>
      <c r="I27" s="300"/>
      <c r="J27" s="301"/>
      <c r="K27" s="301"/>
      <c r="L27" s="301"/>
    </row>
    <row r="28" spans="2:14">
      <c r="B28" s="272"/>
      <c r="C28" s="272"/>
      <c r="D28" s="272"/>
      <c r="E28" s="302"/>
      <c r="F28" s="303"/>
      <c r="G28" s="279"/>
      <c r="H28" s="279"/>
      <c r="I28" s="304"/>
      <c r="J28" s="301"/>
      <c r="K28" s="301"/>
      <c r="L28" s="301"/>
    </row>
    <row r="29" spans="2:14">
      <c r="B29" s="272"/>
      <c r="C29" s="272"/>
      <c r="D29" s="272"/>
      <c r="E29" s="302"/>
      <c r="F29" s="303"/>
      <c r="G29" s="279"/>
      <c r="H29" s="279"/>
      <c r="I29" s="304"/>
      <c r="J29" s="301"/>
      <c r="K29" s="301"/>
      <c r="L29" s="301"/>
    </row>
    <row r="30" spans="2:14">
      <c r="B30" s="272"/>
      <c r="C30" s="272"/>
      <c r="D30" s="272"/>
      <c r="E30" s="302"/>
      <c r="F30" s="303"/>
      <c r="G30" s="279"/>
      <c r="H30" s="279"/>
      <c r="I30" s="304"/>
      <c r="J30" s="301"/>
      <c r="K30" s="301"/>
      <c r="L30" s="301"/>
    </row>
    <row r="31" spans="2:14">
      <c r="B31" s="272"/>
      <c r="C31" s="272"/>
      <c r="D31" s="272"/>
      <c r="E31" s="302"/>
      <c r="F31" s="303"/>
      <c r="G31" s="279"/>
      <c r="H31" s="279"/>
      <c r="I31" s="304"/>
      <c r="J31" s="301"/>
      <c r="K31" s="301"/>
      <c r="L31" s="301"/>
    </row>
    <row r="32" spans="2:14">
      <c r="B32" s="272"/>
      <c r="C32" s="272"/>
      <c r="D32" s="272"/>
      <c r="E32" s="302"/>
      <c r="F32" s="303"/>
      <c r="G32" s="279"/>
      <c r="H32" s="279"/>
      <c r="I32" s="304"/>
      <c r="J32" s="301"/>
      <c r="K32" s="301"/>
      <c r="L32" s="301"/>
    </row>
    <row r="33" spans="2:13">
      <c r="B33" s="272"/>
      <c r="C33" s="272"/>
      <c r="D33" s="272"/>
      <c r="E33" s="302"/>
      <c r="F33" s="303"/>
      <c r="G33" s="279"/>
      <c r="H33" s="279"/>
      <c r="I33" s="304"/>
      <c r="J33" s="301"/>
      <c r="K33" s="301"/>
      <c r="L33" s="301"/>
    </row>
    <row r="34" spans="2:13">
      <c r="B34" s="272"/>
      <c r="C34" s="272"/>
      <c r="D34" s="272"/>
      <c r="E34" s="302"/>
      <c r="F34" s="303"/>
      <c r="G34" s="279"/>
      <c r="H34" s="279"/>
      <c r="I34" s="304"/>
      <c r="J34" s="301"/>
      <c r="K34" s="301"/>
      <c r="L34" s="301"/>
    </row>
    <row r="35" spans="2:13">
      <c r="B35" s="272"/>
      <c r="C35" s="272"/>
      <c r="D35" s="272"/>
      <c r="E35" s="302"/>
      <c r="F35" s="303"/>
      <c r="G35" s="279"/>
      <c r="H35" s="279"/>
      <c r="I35" s="304"/>
      <c r="J35" s="301"/>
      <c r="K35" s="301"/>
      <c r="L35" s="301"/>
    </row>
    <row r="36" spans="2:13">
      <c r="B36" s="272"/>
      <c r="C36" s="272"/>
      <c r="D36" s="272"/>
      <c r="E36" s="302"/>
      <c r="F36" s="303"/>
      <c r="G36" s="279"/>
      <c r="H36" s="279"/>
      <c r="I36" s="304"/>
      <c r="J36" s="301"/>
      <c r="K36" s="301"/>
      <c r="L36" s="301"/>
    </row>
    <row r="37" spans="2:13" ht="15.75" customHeight="1">
      <c r="B37" s="272"/>
      <c r="C37" s="272"/>
      <c r="D37" s="309"/>
      <c r="E37" s="302"/>
      <c r="F37" s="303"/>
      <c r="G37" s="279"/>
      <c r="H37" s="279"/>
      <c r="I37" s="304"/>
      <c r="J37" s="301"/>
      <c r="K37" s="301"/>
      <c r="L37" s="301"/>
    </row>
    <row r="38" spans="2:13" ht="15.75" customHeight="1">
      <c r="B38" s="272"/>
      <c r="C38" s="272"/>
      <c r="D38" s="272"/>
      <c r="E38" s="302"/>
      <c r="F38" s="303"/>
      <c r="G38" s="279"/>
      <c r="H38" s="279"/>
      <c r="I38" s="304"/>
      <c r="J38" s="301"/>
      <c r="K38" s="301"/>
      <c r="L38" s="301"/>
    </row>
    <row r="39" spans="2:13" ht="15.75" customHeight="1">
      <c r="B39" s="272"/>
      <c r="C39" s="272"/>
      <c r="D39" s="272"/>
      <c r="E39" s="302"/>
      <c r="F39" s="303"/>
      <c r="G39" s="279"/>
      <c r="H39" s="279"/>
      <c r="I39" s="304"/>
      <c r="J39" s="301"/>
      <c r="K39" s="301"/>
      <c r="L39" s="301"/>
      <c r="M39" s="311"/>
    </row>
    <row r="40" spans="2:13" ht="15.75" customHeight="1">
      <c r="B40" s="272"/>
      <c r="C40" s="272"/>
      <c r="D40" s="272"/>
      <c r="E40" s="302"/>
      <c r="F40" s="303"/>
      <c r="G40" s="279"/>
      <c r="H40" s="279"/>
      <c r="I40" s="304"/>
      <c r="J40" s="301"/>
      <c r="K40" s="301"/>
      <c r="L40" s="301"/>
    </row>
    <row r="41" spans="2:13" ht="15.75" customHeight="1">
      <c r="B41" s="272"/>
      <c r="C41" s="272"/>
      <c r="D41" s="272"/>
      <c r="E41" s="302"/>
      <c r="F41" s="303"/>
      <c r="G41" s="279"/>
      <c r="H41" s="279"/>
      <c r="I41" s="304"/>
      <c r="J41" s="301"/>
      <c r="K41" s="301"/>
      <c r="L41" s="301"/>
    </row>
    <row r="42" spans="2:13" ht="15.75" customHeight="1">
      <c r="B42" s="272"/>
      <c r="C42" s="272"/>
      <c r="D42" s="272"/>
      <c r="E42" s="302"/>
      <c r="F42" s="303"/>
      <c r="G42" s="279"/>
      <c r="H42" s="279"/>
      <c r="I42" s="304"/>
      <c r="J42" s="301"/>
      <c r="K42" s="301"/>
      <c r="L42" s="301"/>
    </row>
    <row r="43" spans="2:13" ht="15.75" customHeight="1">
      <c r="B43" s="272"/>
      <c r="C43" s="272"/>
      <c r="D43" s="994"/>
      <c r="E43" s="994"/>
      <c r="F43" s="994"/>
      <c r="G43" s="279"/>
      <c r="H43" s="280"/>
      <c r="I43" s="304"/>
      <c r="J43" s="310"/>
      <c r="K43" s="310"/>
      <c r="L43" s="310"/>
    </row>
    <row r="44" spans="2:13" ht="15.75" customHeight="1">
      <c r="B44" s="272"/>
      <c r="C44" s="272"/>
      <c r="D44" s="272"/>
      <c r="E44" s="302"/>
      <c r="F44" s="303"/>
      <c r="G44" s="279"/>
      <c r="H44" s="279"/>
      <c r="I44" s="304"/>
      <c r="J44" s="301"/>
      <c r="K44" s="301"/>
      <c r="L44" s="310"/>
    </row>
    <row r="45" spans="2:13" ht="15">
      <c r="B45" s="305"/>
      <c r="C45" s="305"/>
      <c r="D45" s="305"/>
      <c r="E45" s="306"/>
      <c r="F45" s="305"/>
      <c r="G45" s="307"/>
      <c r="H45" s="307"/>
      <c r="I45" s="305"/>
      <c r="J45" s="308"/>
      <c r="K45" s="278"/>
      <c r="L45" s="278"/>
    </row>
    <row r="47" spans="2:13">
      <c r="B47" s="992"/>
      <c r="C47" s="992"/>
      <c r="D47" s="992"/>
      <c r="E47" s="992"/>
      <c r="F47" s="992"/>
      <c r="G47" s="992"/>
      <c r="H47" s="992"/>
      <c r="I47" s="992"/>
      <c r="J47" s="992"/>
      <c r="K47" s="992"/>
      <c r="L47" s="271"/>
    </row>
    <row r="51" spans="2:12" ht="15">
      <c r="B51" s="269"/>
      <c r="G51" s="270"/>
    </row>
    <row r="52" spans="2:12" ht="15"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</row>
    <row r="53" spans="2:12" ht="15">
      <c r="B53" s="300"/>
      <c r="C53" s="300"/>
      <c r="D53" s="300"/>
      <c r="E53" s="300"/>
      <c r="F53" s="300"/>
      <c r="G53" s="300"/>
      <c r="H53" s="300"/>
      <c r="I53" s="300"/>
      <c r="J53" s="301"/>
      <c r="K53" s="301"/>
      <c r="L53" s="301"/>
    </row>
    <row r="54" spans="2:12">
      <c r="B54" s="272"/>
      <c r="C54" s="272"/>
      <c r="D54" s="272"/>
      <c r="E54" s="302"/>
      <c r="F54" s="303"/>
      <c r="G54" s="279"/>
      <c r="H54" s="279"/>
      <c r="I54" s="304"/>
      <c r="J54" s="301"/>
      <c r="K54" s="301"/>
      <c r="L54" s="301"/>
    </row>
    <row r="55" spans="2:12" ht="15">
      <c r="B55" s="272"/>
      <c r="C55" s="272"/>
      <c r="D55" s="995"/>
      <c r="E55" s="995"/>
      <c r="F55" s="995"/>
      <c r="G55" s="312"/>
      <c r="H55" s="312"/>
      <c r="I55" s="304"/>
      <c r="J55" s="313"/>
      <c r="K55" s="313"/>
      <c r="L55" s="301"/>
    </row>
    <row r="56" spans="2:12">
      <c r="B56" s="272"/>
      <c r="C56" s="272"/>
      <c r="D56" s="272"/>
      <c r="E56" s="302"/>
      <c r="F56" s="303"/>
      <c r="G56" s="279"/>
      <c r="H56" s="279"/>
      <c r="I56" s="304"/>
      <c r="J56" s="301"/>
      <c r="K56" s="301"/>
      <c r="L56" s="301"/>
    </row>
    <row r="57" spans="2:12">
      <c r="B57" s="272"/>
      <c r="C57" s="272"/>
      <c r="D57" s="272"/>
      <c r="E57" s="302"/>
      <c r="F57" s="303"/>
      <c r="G57" s="279"/>
      <c r="H57" s="279"/>
      <c r="I57" s="304"/>
      <c r="J57" s="301"/>
      <c r="K57" s="301"/>
      <c r="L57" s="301"/>
    </row>
    <row r="58" spans="2:12">
      <c r="B58" s="272"/>
      <c r="C58" s="272"/>
      <c r="D58" s="272"/>
      <c r="E58" s="302"/>
      <c r="F58" s="303"/>
      <c r="G58" s="279"/>
      <c r="H58" s="279"/>
      <c r="I58" s="304"/>
      <c r="J58" s="301"/>
      <c r="K58" s="301"/>
      <c r="L58" s="301"/>
    </row>
    <row r="59" spans="2:12" ht="15">
      <c r="B59" s="305"/>
      <c r="C59" s="305"/>
      <c r="D59" s="305"/>
      <c r="E59" s="306"/>
      <c r="F59" s="305"/>
      <c r="G59" s="307"/>
      <c r="H59" s="307"/>
      <c r="I59" s="305"/>
      <c r="J59" s="308"/>
      <c r="K59" s="278"/>
      <c r="L59" s="278"/>
    </row>
    <row r="65" spans="2:12" ht="15">
      <c r="B65" s="269"/>
      <c r="G65" s="270"/>
    </row>
    <row r="66" spans="2:12" ht="15"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</row>
    <row r="67" spans="2:12" ht="15">
      <c r="B67" s="300"/>
      <c r="C67" s="300"/>
      <c r="D67" s="300"/>
      <c r="E67" s="300"/>
      <c r="F67" s="300"/>
      <c r="G67" s="300"/>
      <c r="H67" s="300"/>
      <c r="I67" s="300"/>
      <c r="J67" s="301"/>
      <c r="K67" s="301"/>
      <c r="L67" s="301"/>
    </row>
    <row r="68" spans="2:12">
      <c r="B68" s="272"/>
      <c r="C68" s="272"/>
      <c r="D68" s="272"/>
      <c r="E68" s="302"/>
      <c r="F68" s="303"/>
      <c r="G68" s="279"/>
      <c r="H68" s="279"/>
      <c r="I68" s="304"/>
      <c r="J68" s="301"/>
      <c r="K68" s="301"/>
      <c r="L68" s="301"/>
    </row>
    <row r="69" spans="2:12" ht="15">
      <c r="B69" s="272"/>
      <c r="C69" s="272"/>
      <c r="D69" s="993"/>
      <c r="E69" s="993"/>
      <c r="F69" s="993"/>
      <c r="G69" s="312"/>
      <c r="H69" s="279"/>
      <c r="I69" s="304"/>
      <c r="J69" s="313"/>
      <c r="K69" s="313"/>
      <c r="L69" s="301"/>
    </row>
    <row r="70" spans="2:12">
      <c r="B70" s="272"/>
      <c r="C70" s="272"/>
      <c r="D70" s="272"/>
      <c r="E70" s="302"/>
      <c r="F70" s="303"/>
      <c r="G70" s="279"/>
      <c r="H70" s="279"/>
      <c r="I70" s="304"/>
      <c r="J70" s="301"/>
      <c r="K70" s="301"/>
      <c r="L70" s="301"/>
    </row>
    <row r="71" spans="2:12">
      <c r="B71" s="272"/>
      <c r="C71" s="272"/>
      <c r="D71" s="272"/>
      <c r="E71" s="302"/>
      <c r="F71" s="303"/>
      <c r="G71" s="279"/>
      <c r="H71" s="279"/>
      <c r="I71" s="304"/>
      <c r="J71" s="301"/>
      <c r="K71" s="301"/>
      <c r="L71" s="301"/>
    </row>
    <row r="72" spans="2:12" ht="15">
      <c r="B72" s="305"/>
      <c r="C72" s="305"/>
      <c r="D72" s="305"/>
      <c r="E72" s="306"/>
      <c r="F72" s="305"/>
      <c r="G72" s="307"/>
      <c r="H72" s="307"/>
      <c r="I72" s="305"/>
      <c r="J72" s="308"/>
      <c r="K72" s="278"/>
      <c r="L72" s="278"/>
    </row>
  </sheetData>
  <mergeCells count="6">
    <mergeCell ref="E1:H1"/>
    <mergeCell ref="B19:K19"/>
    <mergeCell ref="D69:F69"/>
    <mergeCell ref="D43:F43"/>
    <mergeCell ref="B47:K47"/>
    <mergeCell ref="D55:F55"/>
  </mergeCells>
  <pageMargins left="0.7" right="0.7" top="0.75" bottom="0.75" header="0.3" footer="0.3"/>
  <pageSetup paperSize="9"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32"/>
  <sheetViews>
    <sheetView view="pageBreakPreview" zoomScaleNormal="100" zoomScaleSheetLayoutView="100" workbookViewId="0">
      <selection activeCell="G11" sqref="G11"/>
    </sheetView>
  </sheetViews>
  <sheetFormatPr defaultColWidth="11.42578125" defaultRowHeight="12.75"/>
  <cols>
    <col min="1" max="1" width="1.85546875" style="49" customWidth="1"/>
    <col min="2" max="3" width="13.140625" style="49" customWidth="1"/>
    <col min="4" max="5" width="9.85546875" style="49" customWidth="1"/>
    <col min="6" max="6" width="17" style="49" bestFit="1" customWidth="1"/>
    <col min="7" max="7" width="14.42578125" style="49" customWidth="1"/>
    <col min="8" max="8" width="3.5703125" style="49" customWidth="1"/>
    <col min="9" max="9" width="17.140625" style="49" customWidth="1"/>
    <col min="10" max="10" width="10.85546875" style="49" customWidth="1"/>
    <col min="11" max="11" width="18.42578125" style="49" customWidth="1"/>
    <col min="12" max="12" width="15.140625" style="49" customWidth="1"/>
    <col min="13" max="13" width="14.85546875" style="49" customWidth="1"/>
    <col min="14" max="14" width="11.42578125" style="57"/>
    <col min="15" max="15" width="2.5703125" style="49" customWidth="1"/>
    <col min="16" max="16" width="16.85546875" style="49" customWidth="1"/>
    <col min="17" max="16384" width="11.42578125" style="49"/>
  </cols>
  <sheetData>
    <row r="1" spans="1:16" s="83" customFormat="1" ht="15.75">
      <c r="B1" s="96" t="str">
        <f>'Intérêts CC'!B1</f>
        <v>SANCY - SLP</v>
      </c>
      <c r="C1" s="96"/>
      <c r="E1" s="84"/>
      <c r="F1" s="84"/>
      <c r="G1" s="84"/>
      <c r="H1" s="84"/>
      <c r="I1" s="84" t="s">
        <v>240</v>
      </c>
      <c r="J1" s="84"/>
      <c r="K1" s="84"/>
      <c r="L1" s="84"/>
      <c r="M1" s="81">
        <f>Sommaire!C1</f>
        <v>46022</v>
      </c>
      <c r="N1" s="82"/>
      <c r="P1" s="80"/>
    </row>
    <row r="2" spans="1:16">
      <c r="P2"/>
    </row>
    <row r="3" spans="1:16" ht="18.600000000000001" customHeight="1">
      <c r="B3" s="79"/>
      <c r="C3" s="58"/>
      <c r="D3" s="59"/>
      <c r="E3" s="59"/>
      <c r="F3" s="62" t="s">
        <v>251</v>
      </c>
      <c r="G3" s="60"/>
      <c r="H3" s="60"/>
      <c r="I3" s="60"/>
      <c r="J3" s="60"/>
      <c r="K3" s="61"/>
      <c r="L3" s="61"/>
      <c r="M3" s="61"/>
      <c r="N3" s="59"/>
      <c r="P3" s="164"/>
    </row>
    <row r="4" spans="1:16" ht="60" customHeight="1">
      <c r="B4" s="1151" t="s">
        <v>226</v>
      </c>
      <c r="C4" s="1151" t="s">
        <v>252</v>
      </c>
      <c r="D4" s="1151" t="s">
        <v>228</v>
      </c>
      <c r="E4" s="1151" t="s">
        <v>229</v>
      </c>
      <c r="F4" s="1151" t="s">
        <v>253</v>
      </c>
      <c r="G4" s="1151" t="s">
        <v>254</v>
      </c>
      <c r="H4" s="1151"/>
      <c r="I4" s="1151" t="s">
        <v>255</v>
      </c>
      <c r="J4" s="1151" t="s">
        <v>238</v>
      </c>
      <c r="K4" s="1151" t="s">
        <v>256</v>
      </c>
      <c r="L4" s="1151" t="s">
        <v>257</v>
      </c>
      <c r="M4" s="1151" t="s">
        <v>258</v>
      </c>
      <c r="N4" s="63" t="s">
        <v>259</v>
      </c>
      <c r="P4" s="164"/>
    </row>
    <row r="5" spans="1:16" ht="18.600000000000001" customHeight="1">
      <c r="B5" s="1152"/>
      <c r="C5" s="284"/>
      <c r="D5" s="338">
        <f>C5-B5</f>
        <v>0</v>
      </c>
      <c r="E5" s="339">
        <v>360</v>
      </c>
      <c r="F5" s="287"/>
      <c r="G5" s="340"/>
      <c r="H5" s="340"/>
      <c r="I5" s="340"/>
      <c r="J5" s="286">
        <v>0.08</v>
      </c>
      <c r="K5" s="341">
        <f t="shared" ref="K5" si="0">ROUND((F5+I5)*J5*D5/E5,2)</f>
        <v>0</v>
      </c>
      <c r="L5" s="341">
        <f t="shared" ref="L5:L7" si="1">+F5*D5*J5/E5</f>
        <v>0</v>
      </c>
      <c r="M5" s="340"/>
      <c r="N5" s="63"/>
      <c r="P5" s="164"/>
    </row>
    <row r="6" spans="1:16" ht="18.600000000000001" customHeight="1">
      <c r="B6" s="284"/>
      <c r="C6" s="285"/>
      <c r="D6" s="338">
        <f>C6-B6</f>
        <v>0</v>
      </c>
      <c r="E6" s="339">
        <v>360</v>
      </c>
      <c r="F6" s="287">
        <f>F5</f>
        <v>0</v>
      </c>
      <c r="G6" s="342"/>
      <c r="H6" s="342"/>
      <c r="I6" s="343">
        <f>G6+I5</f>
        <v>0</v>
      </c>
      <c r="J6" s="286">
        <v>0.08</v>
      </c>
      <c r="K6" s="341">
        <f>ROUND((F6+I6)*J6*D6/E6,2)</f>
        <v>0</v>
      </c>
      <c r="L6" s="341">
        <f t="shared" si="1"/>
        <v>0</v>
      </c>
      <c r="M6" s="341"/>
      <c r="N6" s="59"/>
      <c r="P6" s="164"/>
    </row>
    <row r="7" spans="1:16" ht="18.600000000000001" customHeight="1">
      <c r="B7" s="344"/>
      <c r="C7" s="345"/>
      <c r="D7" s="902">
        <f>+C7-B7</f>
        <v>0</v>
      </c>
      <c r="E7" s="339">
        <v>360</v>
      </c>
      <c r="F7" s="288">
        <f>F6</f>
        <v>0</v>
      </c>
      <c r="G7" s="342"/>
      <c r="H7" s="342"/>
      <c r="I7" s="343">
        <f t="shared" ref="I7" si="2">G7+I6</f>
        <v>0</v>
      </c>
      <c r="J7" s="286">
        <v>0.08</v>
      </c>
      <c r="K7" s="341">
        <f t="shared" ref="K7:K13" si="3">ROUND((F7+I7)*J7*D7/E7,2)</f>
        <v>0</v>
      </c>
      <c r="L7" s="341">
        <f t="shared" si="1"/>
        <v>0</v>
      </c>
      <c r="M7" s="341">
        <f t="shared" ref="M7:M9" si="4">+I7*D7*J7/E7</f>
        <v>0</v>
      </c>
      <c r="N7" s="59"/>
      <c r="P7" s="164"/>
    </row>
    <row r="8" spans="1:16" ht="18.600000000000001" customHeight="1">
      <c r="B8" s="344"/>
      <c r="C8" s="345"/>
      <c r="D8" s="902">
        <f>+C8-B8</f>
        <v>0</v>
      </c>
      <c r="E8" s="339">
        <v>360</v>
      </c>
      <c r="F8" s="288">
        <f>F7</f>
        <v>0</v>
      </c>
      <c r="G8" s="342"/>
      <c r="H8" s="342"/>
      <c r="I8" s="343">
        <f>G8+I7</f>
        <v>0</v>
      </c>
      <c r="J8" s="286">
        <v>0.08</v>
      </c>
      <c r="K8" s="341">
        <f t="shared" si="3"/>
        <v>0</v>
      </c>
      <c r="L8" s="341">
        <f t="shared" ref="L8:L9" si="5">+F8*D8*J8/E8</f>
        <v>0</v>
      </c>
      <c r="M8" s="341">
        <f t="shared" si="4"/>
        <v>0</v>
      </c>
      <c r="N8" s="59"/>
      <c r="P8" s="164"/>
    </row>
    <row r="9" spans="1:16" ht="18.600000000000001" customHeight="1">
      <c r="B9" s="344"/>
      <c r="C9" s="346"/>
      <c r="D9" s="902">
        <f>+C9-B9</f>
        <v>0</v>
      </c>
      <c r="E9" s="339">
        <v>360</v>
      </c>
      <c r="F9" s="288">
        <f t="shared" ref="F9:F14" si="6">F8</f>
        <v>0</v>
      </c>
      <c r="G9" s="342"/>
      <c r="H9" s="342"/>
      <c r="I9" s="343">
        <f>G9+I8</f>
        <v>0</v>
      </c>
      <c r="J9" s="286">
        <v>0.08</v>
      </c>
      <c r="K9" s="341">
        <f t="shared" si="3"/>
        <v>0</v>
      </c>
      <c r="L9" s="341">
        <f t="shared" si="5"/>
        <v>0</v>
      </c>
      <c r="M9" s="341">
        <f t="shared" si="4"/>
        <v>0</v>
      </c>
      <c r="N9" s="59"/>
      <c r="P9" s="164"/>
    </row>
    <row r="10" spans="1:16" ht="18.600000000000001" customHeight="1">
      <c r="B10" s="344"/>
      <c r="C10" s="346"/>
      <c r="D10" s="902">
        <f t="shared" ref="D10:D13" si="7">+C10-B10</f>
        <v>0</v>
      </c>
      <c r="E10" s="339">
        <v>360</v>
      </c>
      <c r="F10" s="288">
        <f t="shared" si="6"/>
        <v>0</v>
      </c>
      <c r="G10" s="342"/>
      <c r="H10" s="342"/>
      <c r="I10" s="343">
        <f t="shared" ref="I10:I13" si="8">G10+I9</f>
        <v>0</v>
      </c>
      <c r="J10" s="286">
        <v>0.08</v>
      </c>
      <c r="K10" s="341">
        <f t="shared" si="3"/>
        <v>0</v>
      </c>
      <c r="L10" s="341">
        <f t="shared" ref="L10:L13" si="9">+F10*D10*J10/E10</f>
        <v>0</v>
      </c>
      <c r="M10" s="341">
        <f t="shared" ref="M10:M13" si="10">+I10*D10*J10/E10</f>
        <v>0</v>
      </c>
      <c r="N10" s="59"/>
      <c r="P10" s="164"/>
    </row>
    <row r="11" spans="1:16" ht="18.600000000000001" customHeight="1">
      <c r="B11" s="344"/>
      <c r="C11" s="346"/>
      <c r="D11" s="902">
        <f t="shared" si="7"/>
        <v>0</v>
      </c>
      <c r="E11" s="339">
        <v>360</v>
      </c>
      <c r="F11" s="288">
        <f t="shared" si="6"/>
        <v>0</v>
      </c>
      <c r="G11" s="342"/>
      <c r="H11" s="342"/>
      <c r="I11" s="343">
        <f t="shared" si="8"/>
        <v>0</v>
      </c>
      <c r="J11" s="286"/>
      <c r="K11" s="341">
        <f t="shared" si="3"/>
        <v>0</v>
      </c>
      <c r="L11" s="341">
        <f t="shared" si="9"/>
        <v>0</v>
      </c>
      <c r="M11" s="341">
        <f t="shared" si="10"/>
        <v>0</v>
      </c>
      <c r="N11" s="59"/>
      <c r="P11" s="164"/>
    </row>
    <row r="12" spans="1:16" ht="18.600000000000001" customHeight="1">
      <c r="B12" s="346"/>
      <c r="C12" s="346"/>
      <c r="D12" s="902">
        <f t="shared" si="7"/>
        <v>0</v>
      </c>
      <c r="E12" s="339">
        <v>360</v>
      </c>
      <c r="F12" s="288">
        <f t="shared" si="6"/>
        <v>0</v>
      </c>
      <c r="G12" s="342"/>
      <c r="H12" s="342"/>
      <c r="I12" s="343">
        <f t="shared" si="8"/>
        <v>0</v>
      </c>
      <c r="J12" s="347"/>
      <c r="K12" s="341">
        <f t="shared" si="3"/>
        <v>0</v>
      </c>
      <c r="L12" s="341">
        <f t="shared" si="9"/>
        <v>0</v>
      </c>
      <c r="M12" s="341">
        <f t="shared" si="10"/>
        <v>0</v>
      </c>
      <c r="N12" s="59"/>
      <c r="P12" s="164"/>
    </row>
    <row r="13" spans="1:16" ht="18.600000000000001" customHeight="1">
      <c r="B13" s="346"/>
      <c r="C13" s="344"/>
      <c r="D13" s="902">
        <f t="shared" si="7"/>
        <v>0</v>
      </c>
      <c r="E13" s="339">
        <v>360</v>
      </c>
      <c r="F13" s="288">
        <f t="shared" si="6"/>
        <v>0</v>
      </c>
      <c r="G13" s="342"/>
      <c r="H13" s="342"/>
      <c r="I13" s="343">
        <f t="shared" si="8"/>
        <v>0</v>
      </c>
      <c r="J13" s="347"/>
      <c r="K13" s="341">
        <f t="shared" si="3"/>
        <v>0</v>
      </c>
      <c r="L13" s="341">
        <f t="shared" si="9"/>
        <v>0</v>
      </c>
      <c r="M13" s="341">
        <f t="shared" si="10"/>
        <v>0</v>
      </c>
      <c r="N13" s="59"/>
      <c r="P13" s="164"/>
    </row>
    <row r="14" spans="1:16" ht="18.600000000000001" customHeight="1">
      <c r="B14" s="973"/>
      <c r="C14" s="345"/>
      <c r="D14" s="903"/>
      <c r="E14" s="339">
        <v>360</v>
      </c>
      <c r="F14" s="288">
        <f t="shared" si="6"/>
        <v>0</v>
      </c>
      <c r="G14" s="342"/>
      <c r="H14" s="342"/>
      <c r="I14" s="288">
        <f t="shared" ref="I14" si="11">I13</f>
        <v>0</v>
      </c>
      <c r="J14" s="347"/>
      <c r="K14" s="341"/>
      <c r="L14" s="341"/>
      <c r="M14" s="341"/>
      <c r="N14" s="59"/>
      <c r="P14" s="164"/>
    </row>
    <row r="15" spans="1:16" s="231" customFormat="1" ht="18.600000000000001" customHeight="1">
      <c r="A15" s="229"/>
      <c r="B15" s="1153" t="s">
        <v>51</v>
      </c>
      <c r="C15" s="1154"/>
      <c r="D15" s="1155"/>
      <c r="E15" s="1153"/>
      <c r="F15" s="1156">
        <f>F14</f>
        <v>0</v>
      </c>
      <c r="G15" s="1156">
        <f>SUM(G5:G14)</f>
        <v>0</v>
      </c>
      <c r="H15" s="1156"/>
      <c r="I15" s="1156">
        <f>I14</f>
        <v>0</v>
      </c>
      <c r="J15" s="1153"/>
      <c r="K15" s="1157">
        <f>SUM(K5:K14)</f>
        <v>0</v>
      </c>
      <c r="L15" s="1157">
        <f t="shared" ref="L15" si="12">SUM(L5:L14)</f>
        <v>0</v>
      </c>
      <c r="M15" s="1157">
        <f t="shared" ref="M15" si="13">SUM(M5:M14)</f>
        <v>0</v>
      </c>
      <c r="N15" s="230"/>
      <c r="P15" s="232">
        <f>K15-L15-M15-G15</f>
        <v>0</v>
      </c>
    </row>
    <row r="16" spans="1:16" ht="18.600000000000001" customHeight="1">
      <c r="B16" s="1" t="s">
        <v>260</v>
      </c>
      <c r="C16" s="1"/>
      <c r="F16" s="100" t="s">
        <v>261</v>
      </c>
      <c r="G16" s="1158">
        <v>0</v>
      </c>
      <c r="H16" s="135"/>
      <c r="J16" s="233" t="s">
        <v>262</v>
      </c>
      <c r="K16" s="163">
        <v>0</v>
      </c>
      <c r="L16" s="1159">
        <v>0</v>
      </c>
      <c r="M16" s="1159">
        <f>-M15</f>
        <v>0</v>
      </c>
      <c r="N16" s="59"/>
      <c r="P16" s="164" t="str">
        <f>IF(ABS(ROUND((P15),2))&lt;=0.01,"Contrôle OK","Erreur")</f>
        <v>Contrôle OK</v>
      </c>
    </row>
    <row r="17" spans="2:16" ht="18.600000000000001" customHeight="1">
      <c r="B17" s="1"/>
      <c r="C17" s="1"/>
      <c r="F17" s="100"/>
      <c r="G17" s="101">
        <f>SUM(G15:G16)</f>
        <v>0</v>
      </c>
      <c r="H17" s="135"/>
      <c r="J17" s="233" t="s">
        <v>263</v>
      </c>
      <c r="L17" s="56">
        <f>SUM(L15:L16)</f>
        <v>0</v>
      </c>
      <c r="M17" s="56">
        <f>SUM(M15:M16)</f>
        <v>0</v>
      </c>
      <c r="N17" s="59"/>
      <c r="P17" s="164"/>
    </row>
    <row r="18" spans="2:16">
      <c r="P18" s="39"/>
    </row>
    <row r="19" spans="2:16">
      <c r="G19" s="145"/>
      <c r="P19" s="39"/>
    </row>
    <row r="20" spans="2:16">
      <c r="P20" s="39"/>
    </row>
    <row r="21" spans="2:16" ht="14.25">
      <c r="G21" s="145"/>
      <c r="K21" s="69" t="s">
        <v>26</v>
      </c>
      <c r="L21" s="49" t="s">
        <v>140</v>
      </c>
      <c r="P21" s="39"/>
    </row>
    <row r="22" spans="2:16" ht="18">
      <c r="E22" s="68" t="s">
        <v>264</v>
      </c>
      <c r="F22" s="68"/>
      <c r="G22" s="68"/>
      <c r="H22" s="68"/>
      <c r="I22" s="1160">
        <f>L17+M17</f>
        <v>0</v>
      </c>
      <c r="K22" s="135">
        <f>Inventaire!M18</f>
        <v>0</v>
      </c>
      <c r="L22" s="66" t="str">
        <f>IF(ROUND(I22,2)=ROUND(K22,2),"OK","ERREUR")</f>
        <v>OK</v>
      </c>
      <c r="P22" s="39"/>
    </row>
    <row r="23" spans="2:16" ht="18">
      <c r="E23" s="68" t="s">
        <v>265</v>
      </c>
      <c r="F23" s="68"/>
      <c r="G23" s="68"/>
      <c r="H23" s="68"/>
      <c r="I23" s="1160">
        <f>G17</f>
        <v>0</v>
      </c>
      <c r="K23" s="135">
        <f>Inventaire!I18</f>
        <v>0</v>
      </c>
      <c r="L23" s="66" t="str">
        <f>IF(ROUND(I23,2)=ROUND(K23,2),"OK","ERREUR")</f>
        <v>OK</v>
      </c>
      <c r="P23" s="39"/>
    </row>
    <row r="24" spans="2:16">
      <c r="P24"/>
    </row>
    <row r="25" spans="2:16">
      <c r="K25" s="56"/>
      <c r="P25"/>
    </row>
    <row r="26" spans="2:16">
      <c r="M26" s="135"/>
      <c r="P26"/>
    </row>
    <row r="27" spans="2:16">
      <c r="K27" s="134"/>
      <c r="P27"/>
    </row>
    <row r="28" spans="2:16">
      <c r="P28"/>
    </row>
    <row r="29" spans="2:16">
      <c r="P29"/>
    </row>
    <row r="30" spans="2:16">
      <c r="P30"/>
    </row>
    <row r="31" spans="2:16">
      <c r="B31" s="57"/>
      <c r="C31" s="58"/>
      <c r="D31" s="59"/>
      <c r="E31" s="59"/>
      <c r="F31" s="62"/>
      <c r="G31" s="60"/>
      <c r="H31" s="60"/>
      <c r="I31" s="60"/>
      <c r="J31" s="60"/>
      <c r="K31" s="61"/>
      <c r="L31" s="61"/>
      <c r="M31" s="61"/>
      <c r="P31"/>
    </row>
    <row r="32" spans="2:16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P32"/>
    </row>
    <row r="33" spans="1:16">
      <c r="B33" s="52"/>
      <c r="C33" s="52"/>
      <c r="D33" s="71"/>
      <c r="E33" s="57"/>
      <c r="F33" s="72"/>
      <c r="G33" s="72"/>
      <c r="H33" s="72"/>
      <c r="I33" s="72"/>
      <c r="J33" s="73"/>
      <c r="K33" s="74"/>
      <c r="L33" s="74"/>
      <c r="M33" s="74"/>
      <c r="P33"/>
    </row>
    <row r="34" spans="1:16">
      <c r="B34" s="52"/>
      <c r="C34" s="52"/>
      <c r="D34" s="71"/>
      <c r="E34" s="57"/>
      <c r="F34" s="72"/>
      <c r="G34" s="72"/>
      <c r="H34" s="72"/>
      <c r="I34" s="72"/>
      <c r="J34" s="73"/>
      <c r="K34" s="74"/>
      <c r="L34" s="74"/>
      <c r="M34" s="74"/>
      <c r="P34"/>
    </row>
    <row r="35" spans="1:16">
      <c r="B35" s="52"/>
      <c r="C35" s="64"/>
      <c r="D35" s="71"/>
      <c r="E35" s="57"/>
      <c r="F35" s="72"/>
      <c r="G35" s="72"/>
      <c r="H35" s="72"/>
      <c r="I35" s="72"/>
      <c r="J35" s="73"/>
      <c r="K35" s="74"/>
      <c r="L35" s="74"/>
      <c r="M35" s="74"/>
      <c r="P35"/>
    </row>
    <row r="36" spans="1:16">
      <c r="B36" s="64"/>
      <c r="C36" s="52"/>
      <c r="D36" s="71"/>
      <c r="E36" s="57"/>
      <c r="F36" s="72"/>
      <c r="G36" s="72"/>
      <c r="H36" s="72"/>
      <c r="I36" s="72"/>
      <c r="J36" s="73"/>
      <c r="K36" s="74"/>
      <c r="L36" s="74"/>
      <c r="M36" s="74"/>
      <c r="P36"/>
    </row>
    <row r="37" spans="1:16">
      <c r="B37" s="52"/>
      <c r="C37" s="52"/>
      <c r="D37" s="71"/>
      <c r="E37" s="57"/>
      <c r="F37" s="72"/>
      <c r="G37" s="72"/>
      <c r="H37" s="72"/>
      <c r="I37" s="72"/>
      <c r="J37" s="73"/>
      <c r="K37" s="74"/>
      <c r="L37" s="74"/>
      <c r="M37" s="74"/>
      <c r="P37"/>
    </row>
    <row r="38" spans="1:16">
      <c r="B38" s="52"/>
      <c r="C38" s="52"/>
      <c r="D38" s="71"/>
      <c r="E38" s="57"/>
      <c r="F38" s="72"/>
      <c r="G38" s="72"/>
      <c r="H38" s="72"/>
      <c r="I38" s="72"/>
      <c r="J38" s="73"/>
      <c r="K38" s="74"/>
      <c r="L38" s="74"/>
      <c r="M38" s="74"/>
      <c r="P38"/>
    </row>
    <row r="39" spans="1:16">
      <c r="B39" s="64"/>
      <c r="C39" s="52"/>
      <c r="D39" s="71"/>
      <c r="E39" s="57"/>
      <c r="F39" s="72"/>
      <c r="G39" s="72"/>
      <c r="H39" s="72"/>
      <c r="I39" s="72"/>
      <c r="J39" s="73"/>
      <c r="K39" s="74"/>
      <c r="L39" s="74"/>
      <c r="M39" s="74"/>
      <c r="P39"/>
    </row>
    <row r="40" spans="1:16">
      <c r="B40" s="52"/>
      <c r="C40" s="52"/>
      <c r="D40" s="71"/>
      <c r="E40" s="57"/>
      <c r="F40" s="72"/>
      <c r="G40" s="72"/>
      <c r="H40" s="72"/>
      <c r="I40" s="72"/>
      <c r="J40" s="73"/>
      <c r="K40" s="74"/>
      <c r="L40" s="74"/>
      <c r="M40" s="74"/>
      <c r="P40"/>
    </row>
    <row r="41" spans="1:16">
      <c r="A41" s="50"/>
      <c r="B41" s="50"/>
      <c r="C41" s="75"/>
      <c r="D41" s="76"/>
      <c r="E41" s="50"/>
      <c r="F41" s="77"/>
      <c r="G41" s="77"/>
      <c r="H41" s="77"/>
      <c r="I41" s="77"/>
      <c r="J41" s="50"/>
      <c r="K41" s="78"/>
      <c r="L41" s="78"/>
      <c r="M41" s="78"/>
      <c r="P41"/>
    </row>
    <row r="42" spans="1:16">
      <c r="P42"/>
    </row>
    <row r="43" spans="1:16">
      <c r="P43"/>
    </row>
    <row r="44" spans="1:16">
      <c r="P44"/>
    </row>
    <row r="45" spans="1:16">
      <c r="P45"/>
    </row>
    <row r="46" spans="1:16">
      <c r="P46"/>
    </row>
    <row r="47" spans="1:16">
      <c r="P47" s="65"/>
    </row>
    <row r="48" spans="1:16">
      <c r="P48" s="65"/>
    </row>
    <row r="49" spans="16:16">
      <c r="P49"/>
    </row>
    <row r="50" spans="16:16">
      <c r="P50"/>
    </row>
    <row r="51" spans="16:16">
      <c r="P51"/>
    </row>
    <row r="52" spans="16:16">
      <c r="P52"/>
    </row>
    <row r="53" spans="16:16">
      <c r="P53"/>
    </row>
    <row r="54" spans="16:16">
      <c r="P54"/>
    </row>
    <row r="55" spans="16:16">
      <c r="P55"/>
    </row>
    <row r="56" spans="16:16">
      <c r="P56"/>
    </row>
    <row r="57" spans="16:16">
      <c r="P57"/>
    </row>
    <row r="58" spans="16:16">
      <c r="P58"/>
    </row>
    <row r="59" spans="16:16">
      <c r="P59"/>
    </row>
    <row r="60" spans="16:16">
      <c r="P60"/>
    </row>
    <row r="61" spans="16:16">
      <c r="P61"/>
    </row>
    <row r="62" spans="16:16">
      <c r="P62"/>
    </row>
    <row r="63" spans="16:16">
      <c r="P63"/>
    </row>
    <row r="64" spans="16:16">
      <c r="P64"/>
    </row>
    <row r="65" spans="16:16">
      <c r="P65"/>
    </row>
    <row r="66" spans="16:16">
      <c r="P66"/>
    </row>
    <row r="67" spans="16:16">
      <c r="P67"/>
    </row>
    <row r="68" spans="16:16">
      <c r="P68"/>
    </row>
    <row r="69" spans="16:16">
      <c r="P69"/>
    </row>
    <row r="70" spans="16:16">
      <c r="P70"/>
    </row>
    <row r="71" spans="16:16">
      <c r="P71"/>
    </row>
    <row r="72" spans="16:16">
      <c r="P72"/>
    </row>
    <row r="73" spans="16:16">
      <c r="P73"/>
    </row>
    <row r="74" spans="16:16">
      <c r="P74"/>
    </row>
    <row r="75" spans="16:16">
      <c r="P75"/>
    </row>
    <row r="76" spans="16:16">
      <c r="P76"/>
    </row>
    <row r="77" spans="16:16">
      <c r="P77"/>
    </row>
    <row r="78" spans="16:16">
      <c r="P78"/>
    </row>
    <row r="79" spans="16:16">
      <c r="P79"/>
    </row>
    <row r="80" spans="16:16">
      <c r="P80"/>
    </row>
    <row r="81" spans="16:16">
      <c r="P81"/>
    </row>
    <row r="82" spans="16:16">
      <c r="P82" s="65"/>
    </row>
    <row r="83" spans="16:16">
      <c r="P83" s="65"/>
    </row>
    <row r="84" spans="16:16">
      <c r="P84"/>
    </row>
    <row r="85" spans="16:16">
      <c r="P85"/>
    </row>
    <row r="86" spans="16:16">
      <c r="P86"/>
    </row>
    <row r="87" spans="16:16">
      <c r="P87" s="1"/>
    </row>
    <row r="88" spans="16:16">
      <c r="P88"/>
    </row>
    <row r="89" spans="16:16">
      <c r="P89"/>
    </row>
    <row r="90" spans="16:16">
      <c r="P90"/>
    </row>
    <row r="91" spans="16:16">
      <c r="P91"/>
    </row>
    <row r="92" spans="16:16">
      <c r="P92"/>
    </row>
    <row r="93" spans="16:16">
      <c r="P93"/>
    </row>
    <row r="94" spans="16:16">
      <c r="P94"/>
    </row>
    <row r="95" spans="16:16">
      <c r="P95"/>
    </row>
    <row r="96" spans="16:16">
      <c r="P96"/>
    </row>
    <row r="97" spans="16:16">
      <c r="P97"/>
    </row>
    <row r="98" spans="16:16">
      <c r="P98"/>
    </row>
    <row r="99" spans="16:16">
      <c r="P99"/>
    </row>
    <row r="100" spans="16:16">
      <c r="P100"/>
    </row>
    <row r="101" spans="16:16">
      <c r="P101"/>
    </row>
    <row r="102" spans="16:16">
      <c r="P102"/>
    </row>
    <row r="103" spans="16:16">
      <c r="P103"/>
    </row>
    <row r="104" spans="16:16">
      <c r="P104"/>
    </row>
    <row r="105" spans="16:16">
      <c r="P105"/>
    </row>
    <row r="106" spans="16:16">
      <c r="P106"/>
    </row>
    <row r="107" spans="16:16">
      <c r="P107"/>
    </row>
    <row r="108" spans="16:16">
      <c r="P108"/>
    </row>
    <row r="109" spans="16:16">
      <c r="P109"/>
    </row>
    <row r="110" spans="16:16">
      <c r="P110"/>
    </row>
    <row r="111" spans="16:16">
      <c r="P111"/>
    </row>
    <row r="112" spans="16:16">
      <c r="P112"/>
    </row>
    <row r="113" spans="16:16">
      <c r="P113"/>
    </row>
    <row r="114" spans="16:16">
      <c r="P114" s="65"/>
    </row>
    <row r="115" spans="16:16">
      <c r="P115" s="65"/>
    </row>
    <row r="116" spans="16:16">
      <c r="P116"/>
    </row>
    <row r="117" spans="16:16">
      <c r="P117"/>
    </row>
    <row r="118" spans="16:16">
      <c r="P118"/>
    </row>
    <row r="119" spans="16:16">
      <c r="P119"/>
    </row>
    <row r="120" spans="16:16">
      <c r="P120"/>
    </row>
    <row r="121" spans="16:16">
      <c r="P121"/>
    </row>
    <row r="122" spans="16:16">
      <c r="P122"/>
    </row>
    <row r="123" spans="16:16">
      <c r="P123"/>
    </row>
    <row r="124" spans="16:16">
      <c r="P124" s="65"/>
    </row>
    <row r="125" spans="16:16">
      <c r="P125" s="65"/>
    </row>
    <row r="126" spans="16:16">
      <c r="P126"/>
    </row>
    <row r="127" spans="16:16">
      <c r="P127"/>
    </row>
    <row r="128" spans="16:16">
      <c r="P128"/>
    </row>
    <row r="129" spans="16:16">
      <c r="P129"/>
    </row>
    <row r="130" spans="16:16">
      <c r="P130"/>
    </row>
    <row r="131" spans="16:16">
      <c r="P131"/>
    </row>
    <row r="132" spans="16:16">
      <c r="P132"/>
    </row>
  </sheetData>
  <phoneticPr fontId="43" type="noConversion"/>
  <pageMargins left="0.15748031496062992" right="0.19685039370078741" top="0.19685039370078741" bottom="0.19685039370078741" header="0.15748031496062992" footer="0.19685039370078741"/>
  <pageSetup paperSize="9" scale="5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4">
    <pageSetUpPr fitToPage="1"/>
  </sheetPr>
  <dimension ref="B1:BN70"/>
  <sheetViews>
    <sheetView view="pageBreakPreview" zoomScaleNormal="100" zoomScaleSheetLayoutView="100" workbookViewId="0"/>
  </sheetViews>
  <sheetFormatPr defaultColWidth="11.42578125" defaultRowHeight="12.75" customHeight="1"/>
  <cols>
    <col min="1" max="1" width="1.42578125" style="126" customWidth="1"/>
    <col min="2" max="2" width="39.140625" style="126" bestFit="1" customWidth="1"/>
    <col min="3" max="3" width="20.7109375" style="126" customWidth="1"/>
    <col min="4" max="4" width="14.5703125" style="126" customWidth="1"/>
    <col min="5" max="5" width="15.42578125" style="126" customWidth="1"/>
    <col min="6" max="6" width="18.140625" style="126" customWidth="1"/>
    <col min="7" max="7" width="18.140625" style="126" bestFit="1" customWidth="1"/>
    <col min="8" max="8" width="9.85546875" style="126" bestFit="1" customWidth="1"/>
    <col min="9" max="9" width="12.85546875" style="126" bestFit="1" customWidth="1"/>
    <col min="10" max="10" width="15.42578125" style="126" bestFit="1" customWidth="1"/>
    <col min="11" max="11" width="12.42578125" style="126" customWidth="1"/>
    <col min="12" max="12" width="15.42578125" style="126" bestFit="1" customWidth="1"/>
    <col min="13" max="13" width="12.42578125" style="126" customWidth="1"/>
    <col min="14" max="14" width="14.140625" style="126" customWidth="1"/>
    <col min="15" max="15" width="18.42578125" style="126" bestFit="1" customWidth="1"/>
    <col min="16" max="17" width="11.42578125" style="126" customWidth="1"/>
    <col min="18" max="18" width="12.85546875" style="126" customWidth="1"/>
    <col min="19" max="19" width="11.42578125" style="126" customWidth="1"/>
    <col min="20" max="20" width="10.85546875" style="126" customWidth="1"/>
    <col min="21" max="21" width="11" style="550" customWidth="1"/>
    <col min="22" max="22" width="12.85546875" style="550" customWidth="1"/>
    <col min="23" max="23" width="14" style="565" customWidth="1"/>
    <col min="24" max="26" width="11.42578125" style="565" customWidth="1"/>
    <col min="27" max="27" width="15.42578125" style="565" bestFit="1" customWidth="1"/>
    <col min="28" max="28" width="11.42578125" style="565" customWidth="1"/>
    <col min="29" max="29" width="13.140625" style="565" customWidth="1"/>
    <col min="30" max="31" width="11.42578125" style="565" customWidth="1"/>
    <col min="32" max="32" width="11.42578125" style="126" customWidth="1"/>
    <col min="33" max="40" width="11.42578125" style="565" customWidth="1"/>
    <col min="41" max="16384" width="11.42578125" style="126"/>
  </cols>
  <sheetData>
    <row r="1" spans="2:66" s="93" customFormat="1" ht="15.75">
      <c r="B1" s="93" t="str">
        <f>'Liste porteurs selon versement '!A1</f>
        <v>SANCY - SLP</v>
      </c>
      <c r="D1" s="93" t="s">
        <v>266</v>
      </c>
      <c r="E1" s="149"/>
      <c r="F1" s="541">
        <f>Sommaire!C1</f>
        <v>46022</v>
      </c>
      <c r="G1" s="541"/>
      <c r="H1" s="542"/>
      <c r="O1" s="543"/>
      <c r="P1" s="543"/>
      <c r="R1" s="544"/>
      <c r="T1" s="545"/>
      <c r="U1" s="545"/>
      <c r="V1" s="546"/>
      <c r="W1" s="546"/>
      <c r="X1" s="546"/>
      <c r="Y1" s="546"/>
      <c r="Z1" s="546"/>
      <c r="AA1" s="546"/>
      <c r="AB1" s="546"/>
      <c r="AC1" s="546"/>
      <c r="AD1" s="546"/>
      <c r="AF1" s="546"/>
      <c r="AG1" s="546"/>
      <c r="AH1" s="546"/>
      <c r="AI1" s="546"/>
      <c r="AJ1" s="546"/>
      <c r="AK1" s="546"/>
      <c r="AL1" s="546"/>
      <c r="AM1" s="546"/>
    </row>
    <row r="2" spans="2:66" ht="15">
      <c r="B2" s="126" t="s">
        <v>22</v>
      </c>
      <c r="C2" s="547"/>
      <c r="E2" s="548"/>
      <c r="F2" s="549"/>
      <c r="G2" s="549"/>
      <c r="H2" s="550"/>
      <c r="I2" s="565"/>
      <c r="J2" s="565"/>
      <c r="K2" s="565"/>
      <c r="L2" s="565"/>
      <c r="M2" s="565"/>
      <c r="N2" s="565"/>
      <c r="O2" s="543"/>
      <c r="P2" s="543"/>
      <c r="Q2" s="551"/>
      <c r="R2" s="565"/>
      <c r="S2" s="565"/>
      <c r="T2" s="550"/>
      <c r="V2" s="565"/>
      <c r="AE2" s="126"/>
      <c r="AF2" s="565"/>
      <c r="AN2" s="126"/>
    </row>
    <row r="3" spans="2:66" ht="15">
      <c r="C3" s="547"/>
      <c r="E3" s="548"/>
      <c r="F3" s="549"/>
      <c r="G3" s="549"/>
      <c r="H3" s="550"/>
      <c r="I3" s="565"/>
      <c r="J3" s="565"/>
      <c r="K3" s="565"/>
      <c r="L3" s="565"/>
      <c r="M3" s="565"/>
      <c r="N3" s="565"/>
      <c r="O3" s="543"/>
      <c r="P3" s="543"/>
      <c r="Q3" s="551"/>
      <c r="R3" s="565"/>
      <c r="S3" s="565"/>
      <c r="T3" s="550"/>
      <c r="V3" s="565"/>
      <c r="AE3" s="126"/>
      <c r="AF3" s="565"/>
      <c r="AN3" s="126"/>
    </row>
    <row r="4" spans="2:66" ht="15">
      <c r="C4" s="547"/>
      <c r="D4" s="126" t="s">
        <v>267</v>
      </c>
      <c r="E4" s="548"/>
      <c r="F4" s="549"/>
      <c r="G4" s="549"/>
      <c r="H4" s="550"/>
      <c r="I4" s="565"/>
      <c r="J4" s="565"/>
      <c r="K4" s="565"/>
      <c r="L4" s="565"/>
      <c r="M4" s="565"/>
      <c r="N4" s="565"/>
      <c r="O4" s="543"/>
      <c r="P4" s="543"/>
      <c r="Q4" s="551"/>
      <c r="R4" s="565"/>
      <c r="S4" s="565"/>
      <c r="T4" s="550"/>
      <c r="V4" s="565"/>
      <c r="AE4" s="126"/>
      <c r="AF4" s="565"/>
      <c r="AN4" s="126"/>
    </row>
    <row r="5" spans="2:66" ht="15">
      <c r="B5" s="578" t="s">
        <v>10</v>
      </c>
      <c r="C5" s="793">
        <v>1000</v>
      </c>
      <c r="D5" s="126" t="s">
        <v>268</v>
      </c>
      <c r="E5" s="548" t="s">
        <v>269</v>
      </c>
      <c r="F5" s="549"/>
      <c r="G5" s="549"/>
      <c r="H5" s="550"/>
      <c r="I5" s="565"/>
      <c r="J5" s="565"/>
      <c r="K5" s="565"/>
      <c r="L5" s="565"/>
      <c r="M5" s="565"/>
      <c r="N5" s="565"/>
      <c r="O5" s="543"/>
      <c r="P5" s="543"/>
      <c r="Q5" s="551"/>
      <c r="R5" s="565"/>
      <c r="S5" s="565"/>
      <c r="T5" s="550"/>
      <c r="V5" s="565"/>
      <c r="AE5" s="126"/>
      <c r="AF5" s="565"/>
      <c r="AN5" s="126"/>
    </row>
    <row r="6" spans="2:66" ht="15">
      <c r="B6" s="578" t="s">
        <v>270</v>
      </c>
      <c r="C6" s="793">
        <v>1000</v>
      </c>
      <c r="D6" s="126" t="s">
        <v>271</v>
      </c>
      <c r="E6" s="548" t="s">
        <v>272</v>
      </c>
      <c r="F6" s="549"/>
      <c r="G6" s="549"/>
      <c r="H6" s="550"/>
      <c r="I6" s="565"/>
      <c r="J6" s="565"/>
      <c r="K6" s="565"/>
      <c r="L6" s="565"/>
      <c r="M6" s="565"/>
      <c r="N6" s="565"/>
      <c r="O6" s="543"/>
      <c r="P6" s="543"/>
      <c r="Q6" s="551"/>
      <c r="R6" s="565"/>
      <c r="S6" s="565"/>
      <c r="T6" s="550"/>
      <c r="V6" s="565"/>
      <c r="AE6" s="126"/>
      <c r="AF6" s="565"/>
      <c r="AN6" s="126"/>
    </row>
    <row r="7" spans="2:66" ht="15">
      <c r="C7" s="547"/>
      <c r="D7" s="126" t="s">
        <v>273</v>
      </c>
      <c r="E7" s="548" t="s">
        <v>274</v>
      </c>
      <c r="F7" s="549"/>
      <c r="G7" s="549"/>
      <c r="H7" s="550"/>
      <c r="I7" s="565"/>
      <c r="J7" s="565"/>
      <c r="K7" s="565"/>
      <c r="L7" s="565"/>
      <c r="M7" s="565"/>
      <c r="N7" s="565"/>
      <c r="O7" s="543"/>
      <c r="P7" s="543"/>
      <c r="Q7" s="551"/>
      <c r="R7" s="565"/>
      <c r="S7" s="565"/>
      <c r="T7" s="550"/>
      <c r="V7" s="565"/>
      <c r="AE7" s="126"/>
      <c r="AF7" s="565"/>
      <c r="AN7" s="126"/>
    </row>
    <row r="8" spans="2:66" ht="15">
      <c r="C8" s="547"/>
      <c r="D8" s="126" t="s">
        <v>275</v>
      </c>
      <c r="E8" s="548" t="s">
        <v>276</v>
      </c>
      <c r="F8" s="549"/>
      <c r="G8" s="549"/>
      <c r="H8" s="550"/>
      <c r="I8" s="565"/>
      <c r="J8" s="565"/>
      <c r="K8" s="565" t="s">
        <v>277</v>
      </c>
      <c r="L8" s="565"/>
      <c r="M8" s="565"/>
      <c r="N8" s="565"/>
      <c r="O8" s="543"/>
      <c r="P8" s="543"/>
      <c r="Q8" s="551"/>
      <c r="R8" s="565"/>
      <c r="S8" s="565"/>
      <c r="T8" s="550"/>
      <c r="V8" s="565"/>
      <c r="AE8" s="126"/>
      <c r="AF8" s="565"/>
      <c r="AN8" s="126"/>
    </row>
    <row r="9" spans="2:66" ht="15">
      <c r="C9" s="547"/>
      <c r="D9" s="126" t="s">
        <v>278</v>
      </c>
      <c r="E9" s="548" t="s">
        <v>279</v>
      </c>
      <c r="F9" s="549"/>
      <c r="G9" s="549"/>
      <c r="H9" s="550"/>
      <c r="I9" s="565"/>
      <c r="J9" s="565"/>
      <c r="K9" s="565" t="s">
        <v>280</v>
      </c>
      <c r="L9" s="565"/>
      <c r="M9" s="565"/>
      <c r="N9" s="565"/>
      <c r="O9" s="543"/>
      <c r="P9" s="543"/>
      <c r="Q9" s="551"/>
      <c r="R9" s="565"/>
      <c r="S9" s="565"/>
      <c r="T9" s="550"/>
      <c r="V9" s="565"/>
      <c r="AE9" s="126"/>
      <c r="AF9" s="565"/>
      <c r="AN9" s="126"/>
    </row>
    <row r="10" spans="2:66" ht="15">
      <c r="C10" s="547"/>
      <c r="D10" s="126" t="s">
        <v>281</v>
      </c>
      <c r="E10" s="548" t="s">
        <v>282</v>
      </c>
      <c r="F10" s="549"/>
      <c r="G10" s="549"/>
      <c r="H10" s="550"/>
      <c r="I10" s="565"/>
      <c r="J10" s="565"/>
      <c r="K10" s="565" t="s">
        <v>267</v>
      </c>
      <c r="L10" s="565"/>
      <c r="M10" s="565"/>
      <c r="N10" s="565"/>
      <c r="O10" s="543"/>
      <c r="P10" s="543"/>
      <c r="Q10" s="551"/>
      <c r="R10" s="565"/>
      <c r="S10" s="565"/>
      <c r="T10" s="550"/>
      <c r="V10" s="565"/>
      <c r="AE10" s="126"/>
      <c r="AF10" s="565"/>
      <c r="AN10" s="126"/>
    </row>
    <row r="11" spans="2:66" ht="15.75" thickBot="1">
      <c r="C11" s="547"/>
      <c r="D11" s="126" t="s">
        <v>283</v>
      </c>
      <c r="E11" s="548" t="s">
        <v>284</v>
      </c>
      <c r="F11" s="549"/>
      <c r="G11" s="549"/>
      <c r="H11" s="550"/>
      <c r="I11" s="565"/>
      <c r="J11" s="565"/>
      <c r="K11" s="565"/>
      <c r="L11" s="565"/>
      <c r="M11" s="791" t="s">
        <v>268</v>
      </c>
      <c r="N11" s="791" t="s">
        <v>271</v>
      </c>
      <c r="O11" s="792" t="s">
        <v>271</v>
      </c>
      <c r="P11" s="792" t="s">
        <v>273</v>
      </c>
      <c r="Q11" s="792" t="s">
        <v>275</v>
      </c>
      <c r="R11" s="792" t="s">
        <v>278</v>
      </c>
      <c r="S11" s="792" t="s">
        <v>281</v>
      </c>
      <c r="T11" s="550"/>
      <c r="V11" s="565"/>
      <c r="AE11" s="126"/>
      <c r="AF11" s="565"/>
      <c r="AN11" s="126"/>
    </row>
    <row r="12" spans="2:66" s="552" customFormat="1" ht="13.5" thickBot="1">
      <c r="B12" s="553"/>
      <c r="C12" s="553"/>
      <c r="D12" s="554"/>
      <c r="E12" s="554"/>
      <c r="F12" s="996">
        <v>45657</v>
      </c>
      <c r="G12" s="997"/>
      <c r="H12" s="997"/>
      <c r="I12" s="997"/>
      <c r="J12" s="997"/>
      <c r="K12" s="997"/>
      <c r="L12" s="998"/>
      <c r="M12" s="1161" t="s">
        <v>285</v>
      </c>
      <c r="N12" s="1162"/>
      <c r="O12" s="1163"/>
      <c r="P12" s="1164"/>
      <c r="Q12" s="1165"/>
      <c r="R12" s="1166"/>
      <c r="S12" s="1167"/>
      <c r="T12" s="808"/>
      <c r="U12" s="999">
        <f>F1</f>
        <v>46022</v>
      </c>
      <c r="V12" s="1000"/>
      <c r="W12" s="1000"/>
      <c r="X12" s="1000"/>
      <c r="Y12" s="1000"/>
      <c r="Z12" s="1000"/>
      <c r="AA12" s="1001"/>
      <c r="AB12" s="543"/>
      <c r="AC12" s="543"/>
      <c r="AD12" s="543"/>
      <c r="AF12" s="543"/>
      <c r="AG12" s="543"/>
      <c r="AH12" s="543"/>
      <c r="AI12" s="543"/>
      <c r="AJ12" s="543"/>
      <c r="AK12" s="543"/>
      <c r="AL12" s="543"/>
      <c r="AM12" s="543"/>
    </row>
    <row r="13" spans="2:66" s="552" customFormat="1" ht="38.25">
      <c r="C13" s="557"/>
      <c r="D13" s="1168" t="s">
        <v>286</v>
      </c>
      <c r="E13" s="1169" t="s">
        <v>287</v>
      </c>
      <c r="F13" s="974" t="s">
        <v>288</v>
      </c>
      <c r="G13" s="974" t="s">
        <v>289</v>
      </c>
      <c r="H13" s="809" t="s">
        <v>290</v>
      </c>
      <c r="I13" s="974" t="s">
        <v>291</v>
      </c>
      <c r="J13" s="974" t="s">
        <v>292</v>
      </c>
      <c r="K13" s="809" t="s">
        <v>293</v>
      </c>
      <c r="L13" s="974" t="s">
        <v>294</v>
      </c>
      <c r="M13" s="810" t="s">
        <v>295</v>
      </c>
      <c r="N13" s="1170" t="s">
        <v>296</v>
      </c>
      <c r="O13" s="1171" t="s">
        <v>297</v>
      </c>
      <c r="P13" s="1172" t="s">
        <v>298</v>
      </c>
      <c r="Q13" s="1173" t="s">
        <v>299</v>
      </c>
      <c r="R13" s="1174" t="s">
        <v>300</v>
      </c>
      <c r="S13" s="1175" t="s">
        <v>301</v>
      </c>
      <c r="T13" s="811"/>
      <c r="U13" s="812" t="s">
        <v>302</v>
      </c>
      <c r="V13" s="975" t="s">
        <v>303</v>
      </c>
      <c r="W13" s="975" t="s">
        <v>290</v>
      </c>
      <c r="X13" s="975" t="s">
        <v>304</v>
      </c>
      <c r="Y13" s="1176" t="s">
        <v>305</v>
      </c>
      <c r="Z13" s="1176" t="s">
        <v>293</v>
      </c>
      <c r="AA13" s="1177" t="s">
        <v>306</v>
      </c>
      <c r="AB13" s="559"/>
      <c r="AC13" s="559"/>
      <c r="AD13" s="559"/>
      <c r="AE13" s="559"/>
      <c r="AF13" s="559"/>
      <c r="AG13" s="559"/>
      <c r="AH13" s="559"/>
      <c r="AI13" s="559"/>
      <c r="AJ13" s="559"/>
      <c r="AK13" s="559"/>
      <c r="AL13" s="559"/>
      <c r="AM13" s="559"/>
      <c r="AN13" s="559"/>
      <c r="AO13" s="559"/>
      <c r="AP13" s="558"/>
      <c r="AQ13" s="558"/>
      <c r="AR13" s="558"/>
      <c r="AS13" s="558"/>
      <c r="AT13" s="558"/>
      <c r="AU13" s="558"/>
      <c r="AV13" s="558"/>
      <c r="AW13" s="558"/>
      <c r="AX13" s="558"/>
      <c r="AY13" s="558"/>
      <c r="AZ13" s="558"/>
      <c r="BA13" s="558"/>
      <c r="BB13" s="558"/>
      <c r="BC13" s="558"/>
      <c r="BD13" s="558"/>
      <c r="BE13" s="558"/>
      <c r="BF13" s="558"/>
      <c r="BG13" s="558"/>
      <c r="BH13" s="558"/>
      <c r="BI13" s="558"/>
      <c r="BJ13" s="558"/>
      <c r="BK13" s="558"/>
      <c r="BL13" s="558"/>
      <c r="BM13" s="558"/>
      <c r="BN13" s="558"/>
    </row>
    <row r="14" spans="2:66">
      <c r="B14" s="561" t="s">
        <v>10</v>
      </c>
      <c r="C14" s="562"/>
      <c r="D14" s="563"/>
      <c r="E14" s="904"/>
      <c r="F14" s="564"/>
      <c r="G14" s="564"/>
      <c r="H14" s="1178"/>
      <c r="I14" s="564"/>
      <c r="J14" s="564"/>
      <c r="K14" s="1178"/>
      <c r="L14" s="564"/>
      <c r="M14" s="794"/>
      <c r="N14" s="797"/>
      <c r="O14" s="783"/>
      <c r="P14" s="801"/>
      <c r="Q14" s="802"/>
      <c r="R14" s="803"/>
      <c r="S14" s="804"/>
      <c r="T14" s="565"/>
      <c r="U14" s="784"/>
      <c r="V14" s="785"/>
      <c r="W14" s="786"/>
      <c r="X14" s="787"/>
      <c r="Y14" s="788"/>
      <c r="Z14" s="788"/>
      <c r="AA14" s="789"/>
      <c r="AF14" s="565"/>
      <c r="AO14" s="565"/>
    </row>
    <row r="15" spans="2:66">
      <c r="B15" s="561"/>
      <c r="C15" s="562"/>
      <c r="D15" s="563"/>
      <c r="E15" s="904"/>
      <c r="F15" s="564"/>
      <c r="G15" s="564"/>
      <c r="H15" s="566"/>
      <c r="I15" s="564"/>
      <c r="J15" s="564"/>
      <c r="K15" s="566"/>
      <c r="L15" s="564"/>
      <c r="M15" s="794"/>
      <c r="N15" s="797"/>
      <c r="O15" s="783"/>
      <c r="P15" s="801"/>
      <c r="Q15" s="802"/>
      <c r="R15" s="803"/>
      <c r="S15" s="804"/>
      <c r="T15" s="565"/>
      <c r="U15" s="784"/>
      <c r="V15" s="785"/>
      <c r="W15" s="786"/>
      <c r="X15" s="787"/>
      <c r="Y15" s="788"/>
      <c r="Z15" s="788"/>
      <c r="AA15" s="789"/>
      <c r="AF15" s="565"/>
      <c r="AO15" s="565"/>
    </row>
    <row r="16" spans="2:66">
      <c r="B16" s="579" t="s">
        <v>307</v>
      </c>
      <c r="C16" s="567" t="s">
        <v>308</v>
      </c>
      <c r="D16" s="588">
        <v>2306930</v>
      </c>
      <c r="E16" s="904">
        <v>2280038.12</v>
      </c>
      <c r="F16" s="580">
        <f>+D16/1000</f>
        <v>2306.9299999999998</v>
      </c>
      <c r="G16" s="580">
        <v>2280038.12</v>
      </c>
      <c r="H16" s="568">
        <f>+G16/L16</f>
        <v>0.98834300130476438</v>
      </c>
      <c r="I16" s="580">
        <f>L16-G16</f>
        <v>26891.879999999888</v>
      </c>
      <c r="J16" s="580"/>
      <c r="K16" s="568">
        <f>J16/D16</f>
        <v>0</v>
      </c>
      <c r="L16" s="580">
        <v>2306930</v>
      </c>
      <c r="M16" s="795"/>
      <c r="N16" s="798"/>
      <c r="O16" s="783"/>
      <c r="P16" s="801"/>
      <c r="Q16" s="802"/>
      <c r="R16" s="803"/>
      <c r="S16" s="804"/>
      <c r="T16" s="565"/>
      <c r="U16" s="784">
        <f>F16+SUMIF($M$11:$T$11,"TP",$M16:$T16)</f>
        <v>2306.9299999999998</v>
      </c>
      <c r="V16" s="785">
        <f>G16+SUMIF($M$11:$T$11,"ADF",$M16:$T16)</f>
        <v>2280038.12</v>
      </c>
      <c r="W16" s="786">
        <f>IFERROR(V16/AA16,0)</f>
        <v>0.98834300130476438</v>
      </c>
      <c r="X16" s="787">
        <f>AA16-V16</f>
        <v>26891.879999999888</v>
      </c>
      <c r="Y16" s="788">
        <f>J16+SUMIF($M$11:$T$11,"DD",$M16:$T16)+SUMIF($M$11:$T$11,"DB",$M16:$T16)+SUMIF($M$11:$T$11,"DP",$M16:$T16)-SUMIF($M$11:$T$11,"RD",$M16:$T16)</f>
        <v>0</v>
      </c>
      <c r="Z16" s="788">
        <f>Y16/AA16</f>
        <v>0</v>
      </c>
      <c r="AA16" s="789">
        <f>$C$5*U16</f>
        <v>2306930</v>
      </c>
      <c r="AF16" s="565"/>
      <c r="AH16" s="569"/>
      <c r="AO16" s="565"/>
      <c r="AP16" s="565"/>
      <c r="AQ16" s="565"/>
      <c r="AR16" s="565"/>
    </row>
    <row r="17" spans="2:44">
      <c r="B17" s="579" t="s">
        <v>309</v>
      </c>
      <c r="C17" s="567" t="s">
        <v>308</v>
      </c>
      <c r="D17" s="588">
        <v>1537960</v>
      </c>
      <c r="E17" s="904">
        <v>1520032</v>
      </c>
      <c r="F17" s="580">
        <f t="shared" ref="F17:F23" si="0">+D17/1000</f>
        <v>1537.96</v>
      </c>
      <c r="G17" s="580">
        <v>1520032</v>
      </c>
      <c r="H17" s="568">
        <f t="shared" ref="H17:H23" si="1">+G17/L17</f>
        <v>0.9883429998179406</v>
      </c>
      <c r="I17" s="580">
        <f t="shared" ref="I17:I23" si="2">L17-G17</f>
        <v>17928</v>
      </c>
      <c r="J17" s="580"/>
      <c r="K17" s="568">
        <f t="shared" ref="K17:K24" si="3">J17/D17</f>
        <v>0</v>
      </c>
      <c r="L17" s="580">
        <v>1537960</v>
      </c>
      <c r="M17" s="795"/>
      <c r="N17" s="798"/>
      <c r="O17" s="783"/>
      <c r="P17" s="801"/>
      <c r="Q17" s="802"/>
      <c r="R17" s="803"/>
      <c r="S17" s="804"/>
      <c r="T17" s="565"/>
      <c r="U17" s="784">
        <f t="shared" ref="U17:U28" si="4">F17+SUMIF($M$11:$T$11,"TP",$M17:$T17)</f>
        <v>1537.96</v>
      </c>
      <c r="V17" s="785">
        <f t="shared" ref="V17:V28" si="5">G17+SUMIF($M$11:$T$11,"ADF",$M17:$T17)</f>
        <v>1520032</v>
      </c>
      <c r="W17" s="786">
        <f t="shared" ref="W17:W29" si="6">IFERROR(V17/AA17,0)</f>
        <v>0.9883429998179406</v>
      </c>
      <c r="X17" s="787">
        <f t="shared" ref="X17:X28" si="7">AA17-V17</f>
        <v>17928</v>
      </c>
      <c r="Y17" s="788">
        <f t="shared" ref="Y17:Y28" si="8">J17+SUMIF($M$11:$T$11,"DD",$M17:$T17)+SUMIF($M$11:$T$11,"DB",$M17:$T17)+SUMIF($M$11:$T$11,"DP",$M17:$T17)-SUMIF($M$11:$T$11,"RD",$M17:$T17)</f>
        <v>0</v>
      </c>
      <c r="Z17" s="788">
        <f t="shared" ref="Z17:Z29" si="9">Y17/AA17</f>
        <v>0</v>
      </c>
      <c r="AA17" s="789">
        <f t="shared" ref="AA17:AA28" si="10">$C$5*U17</f>
        <v>1537960</v>
      </c>
      <c r="AF17" s="565"/>
      <c r="AH17" s="569"/>
      <c r="AO17" s="565"/>
      <c r="AP17" s="565"/>
      <c r="AQ17" s="565"/>
      <c r="AR17" s="565"/>
    </row>
    <row r="18" spans="2:44">
      <c r="B18" s="579" t="s">
        <v>310</v>
      </c>
      <c r="C18" s="567" t="s">
        <v>308</v>
      </c>
      <c r="D18" s="588">
        <v>1264740</v>
      </c>
      <c r="E18" s="904">
        <v>1249996.93</v>
      </c>
      <c r="F18" s="580">
        <f t="shared" si="0"/>
        <v>1264.74</v>
      </c>
      <c r="G18" s="580">
        <v>1249996.93</v>
      </c>
      <c r="H18" s="568">
        <f t="shared" si="1"/>
        <v>0.98834300330502711</v>
      </c>
      <c r="I18" s="580">
        <f t="shared" si="2"/>
        <v>14743.070000000065</v>
      </c>
      <c r="J18" s="580"/>
      <c r="K18" s="568">
        <f t="shared" si="3"/>
        <v>0</v>
      </c>
      <c r="L18" s="580">
        <v>1264740</v>
      </c>
      <c r="M18" s="795"/>
      <c r="N18" s="798"/>
      <c r="O18" s="783"/>
      <c r="P18" s="801"/>
      <c r="Q18" s="802"/>
      <c r="R18" s="803"/>
      <c r="S18" s="804"/>
      <c r="T18" s="565"/>
      <c r="U18" s="784">
        <f t="shared" si="4"/>
        <v>1264.74</v>
      </c>
      <c r="V18" s="785">
        <f t="shared" si="5"/>
        <v>1249996.93</v>
      </c>
      <c r="W18" s="786">
        <f t="shared" si="6"/>
        <v>0.98834300330502711</v>
      </c>
      <c r="X18" s="787">
        <f t="shared" si="7"/>
        <v>14743.070000000065</v>
      </c>
      <c r="Y18" s="788">
        <f t="shared" si="8"/>
        <v>0</v>
      </c>
      <c r="Z18" s="788">
        <f t="shared" si="9"/>
        <v>0</v>
      </c>
      <c r="AA18" s="789">
        <f t="shared" si="10"/>
        <v>1264740</v>
      </c>
      <c r="AF18" s="565"/>
      <c r="AH18" s="569"/>
      <c r="AO18" s="565"/>
      <c r="AP18" s="565"/>
      <c r="AQ18" s="565"/>
      <c r="AR18" s="565"/>
    </row>
    <row r="19" spans="2:44">
      <c r="B19" s="579" t="s">
        <v>311</v>
      </c>
      <c r="C19" s="567" t="s">
        <v>308</v>
      </c>
      <c r="D19" s="588">
        <v>1770640</v>
      </c>
      <c r="E19" s="904">
        <v>1749999.65</v>
      </c>
      <c r="F19" s="580">
        <f t="shared" si="0"/>
        <v>1770.64</v>
      </c>
      <c r="G19" s="580">
        <v>1749999.65</v>
      </c>
      <c r="H19" s="568">
        <f t="shared" si="1"/>
        <v>0.98834300027108835</v>
      </c>
      <c r="I19" s="580">
        <f t="shared" si="2"/>
        <v>20640.350000000093</v>
      </c>
      <c r="J19" s="580"/>
      <c r="K19" s="568">
        <f t="shared" si="3"/>
        <v>0</v>
      </c>
      <c r="L19" s="580">
        <v>1770640</v>
      </c>
      <c r="M19" s="795"/>
      <c r="N19" s="798"/>
      <c r="O19" s="783"/>
      <c r="P19" s="801"/>
      <c r="Q19" s="802"/>
      <c r="R19" s="803"/>
      <c r="S19" s="804"/>
      <c r="T19" s="565"/>
      <c r="U19" s="784">
        <f t="shared" si="4"/>
        <v>1770.64</v>
      </c>
      <c r="V19" s="785">
        <f t="shared" si="5"/>
        <v>1749999.65</v>
      </c>
      <c r="W19" s="786">
        <f t="shared" si="6"/>
        <v>0.98834300027108835</v>
      </c>
      <c r="X19" s="787">
        <f t="shared" si="7"/>
        <v>20640.350000000093</v>
      </c>
      <c r="Y19" s="788">
        <f t="shared" si="8"/>
        <v>0</v>
      </c>
      <c r="Z19" s="788">
        <f t="shared" si="9"/>
        <v>0</v>
      </c>
      <c r="AA19" s="789">
        <f t="shared" si="10"/>
        <v>1770640</v>
      </c>
      <c r="AF19" s="565"/>
      <c r="AH19" s="569"/>
      <c r="AO19" s="565"/>
      <c r="AP19" s="565"/>
      <c r="AQ19" s="565"/>
      <c r="AR19" s="565"/>
    </row>
    <row r="20" spans="2:44">
      <c r="B20" s="579" t="s">
        <v>312</v>
      </c>
      <c r="C20" s="567" t="s">
        <v>308</v>
      </c>
      <c r="D20" s="588">
        <v>8436050</v>
      </c>
      <c r="E20" s="904">
        <v>8337710.9699999997</v>
      </c>
      <c r="F20" s="580">
        <f t="shared" si="0"/>
        <v>8436.0499999999993</v>
      </c>
      <c r="G20" s="580">
        <v>8337710.9699999997</v>
      </c>
      <c r="H20" s="568">
        <f t="shared" si="1"/>
        <v>0.98834300057491353</v>
      </c>
      <c r="I20" s="580">
        <f t="shared" si="2"/>
        <v>98339.030000000261</v>
      </c>
      <c r="J20" s="580"/>
      <c r="K20" s="568">
        <f t="shared" si="3"/>
        <v>0</v>
      </c>
      <c r="L20" s="580">
        <v>8436050</v>
      </c>
      <c r="M20" s="795"/>
      <c r="N20" s="797"/>
      <c r="O20" s="783"/>
      <c r="P20" s="801"/>
      <c r="Q20" s="802"/>
      <c r="R20" s="803"/>
      <c r="S20" s="804"/>
      <c r="T20" s="565"/>
      <c r="U20" s="784">
        <f t="shared" si="4"/>
        <v>8436.0499999999993</v>
      </c>
      <c r="V20" s="785">
        <f t="shared" si="5"/>
        <v>8337710.9699999997</v>
      </c>
      <c r="W20" s="786">
        <f t="shared" si="6"/>
        <v>0.98834300057491353</v>
      </c>
      <c r="X20" s="787">
        <f t="shared" si="7"/>
        <v>98339.030000000261</v>
      </c>
      <c r="Y20" s="788">
        <f t="shared" si="8"/>
        <v>0</v>
      </c>
      <c r="Z20" s="788">
        <f t="shared" si="9"/>
        <v>0</v>
      </c>
      <c r="AA20" s="789">
        <f t="shared" si="10"/>
        <v>8436050</v>
      </c>
      <c r="AF20" s="565"/>
      <c r="AH20" s="569"/>
      <c r="AO20" s="565"/>
      <c r="AP20" s="565"/>
      <c r="AQ20" s="565"/>
      <c r="AR20" s="565"/>
    </row>
    <row r="21" spans="2:44">
      <c r="B21" s="579" t="s">
        <v>313</v>
      </c>
      <c r="C21" s="567" t="s">
        <v>308</v>
      </c>
      <c r="D21" s="588">
        <v>12650</v>
      </c>
      <c r="E21" s="904">
        <v>12502.54</v>
      </c>
      <c r="F21" s="580">
        <f t="shared" si="0"/>
        <v>12.65</v>
      </c>
      <c r="G21" s="580">
        <v>12502.54</v>
      </c>
      <c r="H21" s="568">
        <f t="shared" si="1"/>
        <v>0.98834308300395268</v>
      </c>
      <c r="I21" s="580">
        <f t="shared" si="2"/>
        <v>147.45999999999913</v>
      </c>
      <c r="J21" s="580"/>
      <c r="K21" s="568">
        <f t="shared" si="3"/>
        <v>0</v>
      </c>
      <c r="L21" s="580">
        <v>12650</v>
      </c>
      <c r="M21" s="795"/>
      <c r="N21" s="797"/>
      <c r="O21" s="783"/>
      <c r="P21" s="801"/>
      <c r="Q21" s="802"/>
      <c r="R21" s="803"/>
      <c r="S21" s="804"/>
      <c r="T21" s="565"/>
      <c r="U21" s="784">
        <f t="shared" si="4"/>
        <v>12.65</v>
      </c>
      <c r="V21" s="785">
        <f t="shared" si="5"/>
        <v>12502.54</v>
      </c>
      <c r="W21" s="786">
        <f t="shared" si="6"/>
        <v>0.98834308300395268</v>
      </c>
      <c r="X21" s="787">
        <f t="shared" si="7"/>
        <v>147.45999999999913</v>
      </c>
      <c r="Y21" s="788">
        <f t="shared" si="8"/>
        <v>0</v>
      </c>
      <c r="Z21" s="788">
        <f t="shared" si="9"/>
        <v>0</v>
      </c>
      <c r="AA21" s="789">
        <f t="shared" si="10"/>
        <v>12650</v>
      </c>
      <c r="AF21" s="565"/>
      <c r="AH21" s="569"/>
      <c r="AO21" s="565"/>
      <c r="AP21" s="565"/>
      <c r="AQ21" s="565"/>
      <c r="AR21" s="565"/>
    </row>
    <row r="22" spans="2:44">
      <c r="B22" s="579" t="s">
        <v>314</v>
      </c>
      <c r="C22" s="567" t="s">
        <v>308</v>
      </c>
      <c r="D22" s="588">
        <v>37940</v>
      </c>
      <c r="E22" s="904">
        <v>37497.730000000003</v>
      </c>
      <c r="F22" s="580">
        <f t="shared" si="0"/>
        <v>37.94</v>
      </c>
      <c r="G22" s="580">
        <v>37497.730000000003</v>
      </c>
      <c r="H22" s="568">
        <f t="shared" si="1"/>
        <v>0.98834290985767004</v>
      </c>
      <c r="I22" s="580">
        <f t="shared" si="2"/>
        <v>442.2699999999968</v>
      </c>
      <c r="J22" s="580"/>
      <c r="K22" s="568">
        <f t="shared" si="3"/>
        <v>0</v>
      </c>
      <c r="L22" s="580">
        <v>37940</v>
      </c>
      <c r="M22" s="795"/>
      <c r="N22" s="797"/>
      <c r="O22" s="783"/>
      <c r="P22" s="801"/>
      <c r="Q22" s="802"/>
      <c r="R22" s="803"/>
      <c r="S22" s="804"/>
      <c r="T22" s="565"/>
      <c r="U22" s="784">
        <f t="shared" si="4"/>
        <v>37.94</v>
      </c>
      <c r="V22" s="785">
        <f t="shared" si="5"/>
        <v>37497.730000000003</v>
      </c>
      <c r="W22" s="786">
        <f t="shared" si="6"/>
        <v>0.98834290985767004</v>
      </c>
      <c r="X22" s="787">
        <f t="shared" si="7"/>
        <v>442.2699999999968</v>
      </c>
      <c r="Y22" s="788">
        <f t="shared" si="8"/>
        <v>0</v>
      </c>
      <c r="Z22" s="788">
        <f t="shared" si="9"/>
        <v>0</v>
      </c>
      <c r="AA22" s="789">
        <f t="shared" si="10"/>
        <v>37940</v>
      </c>
      <c r="AF22" s="565"/>
      <c r="AH22" s="569"/>
      <c r="AO22" s="565"/>
      <c r="AP22" s="565"/>
      <c r="AQ22" s="565"/>
      <c r="AR22" s="565"/>
    </row>
    <row r="23" spans="2:44" ht="13.5" thickBot="1">
      <c r="B23" s="579" t="s">
        <v>315</v>
      </c>
      <c r="C23" s="567" t="s">
        <v>308</v>
      </c>
      <c r="D23" s="588">
        <v>12650</v>
      </c>
      <c r="E23" s="904">
        <v>12502.54</v>
      </c>
      <c r="F23" s="580">
        <f t="shared" si="0"/>
        <v>12.65</v>
      </c>
      <c r="G23" s="580">
        <v>12502.54</v>
      </c>
      <c r="H23" s="568">
        <f t="shared" si="1"/>
        <v>0.98834308300395268</v>
      </c>
      <c r="I23" s="580">
        <f t="shared" si="2"/>
        <v>147.45999999999913</v>
      </c>
      <c r="J23" s="580"/>
      <c r="K23" s="568">
        <f t="shared" si="3"/>
        <v>0</v>
      </c>
      <c r="L23" s="580">
        <v>12650</v>
      </c>
      <c r="M23" s="795"/>
      <c r="N23" s="799"/>
      <c r="O23" s="783"/>
      <c r="P23" s="801"/>
      <c r="Q23" s="802"/>
      <c r="R23" s="803"/>
      <c r="S23" s="804"/>
      <c r="T23" s="565"/>
      <c r="U23" s="784">
        <f t="shared" si="4"/>
        <v>12.65</v>
      </c>
      <c r="V23" s="785">
        <f t="shared" si="5"/>
        <v>12502.54</v>
      </c>
      <c r="W23" s="786">
        <f t="shared" si="6"/>
        <v>0.98834308300395268</v>
      </c>
      <c r="X23" s="787">
        <f t="shared" si="7"/>
        <v>147.45999999999913</v>
      </c>
      <c r="Y23" s="788">
        <f t="shared" si="8"/>
        <v>0</v>
      </c>
      <c r="Z23" s="788">
        <f t="shared" si="9"/>
        <v>0</v>
      </c>
      <c r="AA23" s="789">
        <f t="shared" si="10"/>
        <v>12650</v>
      </c>
      <c r="AF23" s="565"/>
      <c r="AH23" s="569"/>
      <c r="AO23" s="565"/>
      <c r="AP23" s="565"/>
      <c r="AQ23" s="565"/>
      <c r="AR23" s="565"/>
    </row>
    <row r="24" spans="2:44" s="570" customFormat="1" ht="13.5" thickBot="1">
      <c r="B24" s="1179" t="s">
        <v>316</v>
      </c>
      <c r="C24" s="571" t="s">
        <v>317</v>
      </c>
      <c r="D24" s="1180">
        <f>SUM(D16:D23)</f>
        <v>15379560</v>
      </c>
      <c r="E24" s="1181">
        <f>SUM(E16:E23)</f>
        <v>15200280.479999997</v>
      </c>
      <c r="F24" s="1182">
        <f>SUM(F16:F23)</f>
        <v>15379.56</v>
      </c>
      <c r="G24" s="1182">
        <f>SUM(G16:G23)</f>
        <v>15200280.479999997</v>
      </c>
      <c r="H24" s="1183">
        <f>+G24/L24</f>
        <v>0.98834300071003311</v>
      </c>
      <c r="I24" s="1182">
        <f t="shared" ref="I24:L24" si="11">SUM(I16:I23)</f>
        <v>179279.52000000028</v>
      </c>
      <c r="J24" s="1182">
        <f t="shared" si="11"/>
        <v>0</v>
      </c>
      <c r="K24" s="1183">
        <f t="shared" si="3"/>
        <v>0</v>
      </c>
      <c r="L24" s="1182">
        <f t="shared" si="11"/>
        <v>15379560</v>
      </c>
      <c r="M24" s="1184"/>
      <c r="N24" s="1185"/>
      <c r="O24" s="1186"/>
      <c r="P24" s="1187"/>
      <c r="Q24" s="1188"/>
      <c r="R24" s="1189"/>
      <c r="S24" s="1190"/>
      <c r="T24" s="572"/>
      <c r="U24" s="805">
        <f>SUM(U16:U23)</f>
        <v>15379.56</v>
      </c>
      <c r="V24" s="805">
        <f>SUM(V16:V23)</f>
        <v>15200280.479999997</v>
      </c>
      <c r="W24" s="806">
        <f>V24/AA24</f>
        <v>0.98834300071003311</v>
      </c>
      <c r="X24" s="805">
        <f>SUM(X16:X23)</f>
        <v>179279.52000000028</v>
      </c>
      <c r="Y24" s="805">
        <f>SUM(Y16:Y23)</f>
        <v>0</v>
      </c>
      <c r="Z24" s="805"/>
      <c r="AA24" s="807">
        <f>SUM(AA16:AA23)</f>
        <v>15379560</v>
      </c>
      <c r="AB24" s="573"/>
      <c r="AC24" s="573"/>
      <c r="AD24" s="573"/>
      <c r="AE24" s="574"/>
      <c r="AF24" s="573"/>
      <c r="AG24" s="573"/>
      <c r="AH24" s="573"/>
      <c r="AI24" s="573"/>
      <c r="AJ24" s="573"/>
      <c r="AK24" s="573"/>
      <c r="AL24" s="573"/>
      <c r="AM24" s="573"/>
      <c r="AN24" s="573"/>
      <c r="AO24" s="573"/>
      <c r="AP24" s="573"/>
      <c r="AQ24" s="573"/>
      <c r="AR24" s="573"/>
    </row>
    <row r="25" spans="2:44" s="570" customFormat="1">
      <c r="B25" s="581"/>
      <c r="C25" s="575"/>
      <c r="D25" s="1191"/>
      <c r="E25" s="585"/>
      <c r="F25" s="1192"/>
      <c r="G25" s="1192"/>
      <c r="H25" s="602"/>
      <c r="I25" s="1192"/>
      <c r="J25" s="1192"/>
      <c r="K25" s="602"/>
      <c r="L25" s="1192"/>
      <c r="M25" s="796"/>
      <c r="N25" s="800"/>
      <c r="O25" s="783"/>
      <c r="P25" s="801"/>
      <c r="Q25" s="802"/>
      <c r="R25" s="803"/>
      <c r="S25" s="804"/>
      <c r="T25" s="572"/>
      <c r="U25" s="784"/>
      <c r="V25" s="785"/>
      <c r="W25" s="786"/>
      <c r="X25" s="787"/>
      <c r="Y25" s="788"/>
      <c r="Z25" s="788"/>
      <c r="AA25" s="789"/>
      <c r="AB25" s="573"/>
      <c r="AC25" s="573"/>
      <c r="AD25" s="573"/>
      <c r="AE25" s="574"/>
      <c r="AF25" s="573"/>
      <c r="AG25" s="573"/>
      <c r="AH25" s="573"/>
      <c r="AI25" s="573"/>
      <c r="AJ25" s="573"/>
      <c r="AK25" s="573"/>
      <c r="AL25" s="573"/>
      <c r="AM25" s="573"/>
      <c r="AN25" s="573"/>
      <c r="AO25" s="573"/>
      <c r="AP25" s="573"/>
      <c r="AQ25" s="573"/>
      <c r="AR25" s="573"/>
    </row>
    <row r="26" spans="2:44" s="570" customFormat="1">
      <c r="B26" s="561"/>
      <c r="C26" s="575"/>
      <c r="D26" s="603"/>
      <c r="E26" s="586"/>
      <c r="F26" s="604"/>
      <c r="G26" s="604"/>
      <c r="H26" s="602"/>
      <c r="I26" s="604"/>
      <c r="J26" s="604"/>
      <c r="K26" s="602"/>
      <c r="L26" s="604"/>
      <c r="M26" s="796"/>
      <c r="N26" s="800"/>
      <c r="O26" s="783"/>
      <c r="P26" s="801"/>
      <c r="Q26" s="802"/>
      <c r="R26" s="803"/>
      <c r="S26" s="804"/>
      <c r="T26" s="572"/>
      <c r="U26" s="784"/>
      <c r="V26" s="785"/>
      <c r="W26" s="786"/>
      <c r="X26" s="787"/>
      <c r="Y26" s="788"/>
      <c r="Z26" s="788"/>
      <c r="AA26" s="789"/>
      <c r="AB26" s="573"/>
      <c r="AC26" s="573"/>
      <c r="AD26" s="573"/>
      <c r="AE26" s="574"/>
      <c r="AF26" s="573"/>
      <c r="AG26" s="573"/>
      <c r="AH26" s="573"/>
      <c r="AI26" s="573"/>
      <c r="AJ26" s="573"/>
      <c r="AK26" s="573"/>
      <c r="AL26" s="573"/>
      <c r="AM26" s="573"/>
      <c r="AN26" s="573"/>
      <c r="AO26" s="573"/>
      <c r="AP26" s="573"/>
      <c r="AQ26" s="573"/>
      <c r="AR26" s="573"/>
    </row>
    <row r="27" spans="2:44" s="570" customFormat="1">
      <c r="B27" s="561"/>
      <c r="C27" s="575"/>
      <c r="D27" s="603"/>
      <c r="E27" s="586"/>
      <c r="F27" s="604"/>
      <c r="G27" s="604"/>
      <c r="H27" s="602"/>
      <c r="I27" s="604"/>
      <c r="J27" s="604"/>
      <c r="K27" s="602"/>
      <c r="L27" s="604"/>
      <c r="M27" s="796"/>
      <c r="N27" s="800"/>
      <c r="O27" s="783"/>
      <c r="P27" s="801"/>
      <c r="Q27" s="802"/>
      <c r="R27" s="803"/>
      <c r="S27" s="804"/>
      <c r="T27" s="572"/>
      <c r="U27" s="784"/>
      <c r="V27" s="785"/>
      <c r="W27" s="786"/>
      <c r="X27" s="787"/>
      <c r="Y27" s="788"/>
      <c r="Z27" s="788"/>
      <c r="AA27" s="789"/>
      <c r="AB27" s="573"/>
      <c r="AC27" s="573"/>
      <c r="AD27" s="573"/>
      <c r="AE27" s="574"/>
      <c r="AF27" s="573"/>
      <c r="AG27" s="573"/>
      <c r="AH27" s="573"/>
      <c r="AI27" s="573"/>
      <c r="AJ27" s="573"/>
      <c r="AK27" s="573"/>
      <c r="AL27" s="573"/>
      <c r="AM27" s="573"/>
      <c r="AN27" s="573"/>
      <c r="AO27" s="573"/>
      <c r="AP27" s="573"/>
      <c r="AQ27" s="573"/>
      <c r="AR27" s="573"/>
    </row>
    <row r="28" spans="2:44" ht="13.5" thickBot="1">
      <c r="B28" s="582" t="s">
        <v>318</v>
      </c>
      <c r="C28" s="1193" t="s">
        <v>11</v>
      </c>
      <c r="D28" s="976">
        <v>1000</v>
      </c>
      <c r="E28" s="1194">
        <v>988.34</v>
      </c>
      <c r="F28" s="977">
        <v>1</v>
      </c>
      <c r="G28" s="977">
        <v>988.34</v>
      </c>
      <c r="H28" s="568">
        <f>+G28/L28</f>
        <v>0.98834</v>
      </c>
      <c r="I28" s="977">
        <f>D28-G28</f>
        <v>11.659999999999968</v>
      </c>
      <c r="J28" s="977"/>
      <c r="K28" s="568">
        <f>J28/D28</f>
        <v>0</v>
      </c>
      <c r="L28" s="977">
        <f>D28</f>
        <v>1000</v>
      </c>
      <c r="M28" s="795"/>
      <c r="N28" s="797"/>
      <c r="O28" s="783"/>
      <c r="P28" s="801"/>
      <c r="Q28" s="802"/>
      <c r="R28" s="803"/>
      <c r="S28" s="804"/>
      <c r="T28" s="565"/>
      <c r="U28" s="784">
        <f t="shared" si="4"/>
        <v>1</v>
      </c>
      <c r="V28" s="785">
        <f t="shared" si="5"/>
        <v>988.34</v>
      </c>
      <c r="W28" s="786">
        <f t="shared" si="6"/>
        <v>0.98834</v>
      </c>
      <c r="X28" s="787">
        <f t="shared" si="7"/>
        <v>11.659999999999968</v>
      </c>
      <c r="Y28" s="788">
        <f t="shared" si="8"/>
        <v>0</v>
      </c>
      <c r="Z28" s="788">
        <f t="shared" si="9"/>
        <v>0</v>
      </c>
      <c r="AA28" s="789">
        <f t="shared" si="10"/>
        <v>1000</v>
      </c>
      <c r="AF28" s="565"/>
      <c r="AO28" s="565"/>
      <c r="AP28" s="565"/>
      <c r="AQ28" s="565"/>
      <c r="AR28" s="565"/>
    </row>
    <row r="29" spans="2:44" ht="13.5" thickBot="1">
      <c r="B29" s="1195" t="s">
        <v>319</v>
      </c>
      <c r="C29" s="397"/>
      <c r="D29" s="1196">
        <f>D28</f>
        <v>1000</v>
      </c>
      <c r="E29" s="1197">
        <f>SUM(E28)</f>
        <v>988.34</v>
      </c>
      <c r="F29" s="1198">
        <f>F28</f>
        <v>1</v>
      </c>
      <c r="G29" s="1198">
        <f t="shared" ref="G29:L29" si="12">G28</f>
        <v>988.34</v>
      </c>
      <c r="H29" s="1183">
        <f>H28</f>
        <v>0.98834</v>
      </c>
      <c r="I29" s="1198">
        <f t="shared" si="12"/>
        <v>11.659999999999968</v>
      </c>
      <c r="J29" s="1198">
        <f t="shared" si="12"/>
        <v>0</v>
      </c>
      <c r="K29" s="1183">
        <f t="shared" si="12"/>
        <v>0</v>
      </c>
      <c r="L29" s="1199">
        <f t="shared" si="12"/>
        <v>1000</v>
      </c>
      <c r="M29" s="1184"/>
      <c r="N29" s="1185"/>
      <c r="O29" s="1186"/>
      <c r="P29" s="1187"/>
      <c r="Q29" s="1188"/>
      <c r="R29" s="1189"/>
      <c r="S29" s="1190"/>
      <c r="T29" s="565"/>
      <c r="U29" s="805">
        <f>U28</f>
        <v>1</v>
      </c>
      <c r="V29" s="805">
        <f>V28</f>
        <v>988.34</v>
      </c>
      <c r="W29" s="806">
        <f t="shared" si="6"/>
        <v>0.98834</v>
      </c>
      <c r="X29" s="805">
        <f>X28</f>
        <v>11.659999999999968</v>
      </c>
      <c r="Y29" s="805">
        <f>Y28</f>
        <v>0</v>
      </c>
      <c r="Z29" s="805">
        <f t="shared" si="9"/>
        <v>0</v>
      </c>
      <c r="AA29" s="807">
        <f>AA28</f>
        <v>1000</v>
      </c>
      <c r="AF29" s="565"/>
      <c r="AO29" s="565"/>
      <c r="AP29" s="565"/>
      <c r="AQ29" s="565"/>
      <c r="AR29" s="565"/>
    </row>
    <row r="30" spans="2:44" ht="13.5" thickBot="1">
      <c r="B30" s="1200"/>
      <c r="C30" s="1200"/>
      <c r="D30" s="1201"/>
      <c r="E30" s="587"/>
      <c r="F30" s="132"/>
      <c r="G30" s="132"/>
      <c r="H30" s="978"/>
      <c r="I30" s="132"/>
      <c r="J30" s="132"/>
      <c r="K30" s="978"/>
      <c r="L30" s="956"/>
      <c r="M30" s="794"/>
      <c r="N30" s="797"/>
      <c r="O30" s="783"/>
      <c r="P30" s="801"/>
      <c r="Q30" s="802"/>
      <c r="R30" s="803"/>
      <c r="S30" s="804"/>
      <c r="T30" s="565"/>
      <c r="U30" s="784"/>
      <c r="V30" s="785"/>
      <c r="W30" s="786"/>
      <c r="X30" s="787"/>
      <c r="Y30" s="788"/>
      <c r="Z30" s="788"/>
      <c r="AA30" s="789"/>
      <c r="AF30" s="565"/>
      <c r="AO30" s="565"/>
      <c r="AP30" s="565"/>
      <c r="AQ30" s="565"/>
      <c r="AR30" s="565"/>
    </row>
    <row r="31" spans="2:44" s="576" customFormat="1" ht="13.5" thickBot="1">
      <c r="B31" s="979" t="s">
        <v>320</v>
      </c>
      <c r="C31" s="979"/>
      <c r="D31" s="980">
        <f>D24+D29</f>
        <v>15380560</v>
      </c>
      <c r="E31" s="1202">
        <f>+E24+E29</f>
        <v>15201268.819999997</v>
      </c>
      <c r="F31" s="1182">
        <f>+F29+F24</f>
        <v>15380.56</v>
      </c>
      <c r="G31" s="1182">
        <f t="shared" ref="G31:L31" si="13">+G29+G24</f>
        <v>15201268.819999997</v>
      </c>
      <c r="H31" s="1183">
        <f>E31/D31</f>
        <v>0.98834300051493551</v>
      </c>
      <c r="I31" s="1182">
        <f t="shared" si="13"/>
        <v>179291.18000000028</v>
      </c>
      <c r="J31" s="1182">
        <f t="shared" si="13"/>
        <v>0</v>
      </c>
      <c r="K31" s="1183">
        <f>J31/D31</f>
        <v>0</v>
      </c>
      <c r="L31" s="1182">
        <f t="shared" si="13"/>
        <v>15380560</v>
      </c>
      <c r="M31" s="1184"/>
      <c r="N31" s="1185"/>
      <c r="O31" s="1186"/>
      <c r="P31" s="1187"/>
      <c r="Q31" s="1188"/>
      <c r="R31" s="1189"/>
      <c r="S31" s="1190"/>
      <c r="T31" s="565"/>
      <c r="U31" s="805">
        <f>U24+U29</f>
        <v>15380.56</v>
      </c>
      <c r="V31" s="805">
        <f>V24+V29</f>
        <v>15201268.819999997</v>
      </c>
      <c r="W31" s="806">
        <f>V31/AA31</f>
        <v>0.98834300051493551</v>
      </c>
      <c r="X31" s="805">
        <f>X24+X29</f>
        <v>179291.18000000028</v>
      </c>
      <c r="Y31" s="805">
        <f>Y24+Y29</f>
        <v>0</v>
      </c>
      <c r="Z31" s="805"/>
      <c r="AA31" s="807">
        <f>AA24+AA29</f>
        <v>15380560</v>
      </c>
      <c r="AB31" s="551"/>
      <c r="AC31" s="551"/>
      <c r="AD31" s="551"/>
      <c r="AE31" s="577"/>
      <c r="AF31" s="551"/>
      <c r="AG31" s="551"/>
      <c r="AH31" s="551"/>
      <c r="AI31" s="551"/>
      <c r="AJ31" s="551"/>
      <c r="AK31" s="551"/>
      <c r="AL31" s="551"/>
      <c r="AM31" s="551"/>
      <c r="AN31" s="551"/>
      <c r="AO31" s="551"/>
      <c r="AP31" s="551"/>
      <c r="AQ31" s="551"/>
      <c r="AR31" s="551"/>
    </row>
    <row r="32" spans="2:44" s="552" customFormat="1" ht="12">
      <c r="D32" s="589"/>
      <c r="E32" s="543"/>
      <c r="F32" s="543"/>
      <c r="G32" s="543"/>
      <c r="H32" s="543"/>
      <c r="I32" s="543"/>
      <c r="J32" s="543"/>
      <c r="K32" s="543"/>
      <c r="L32" s="543"/>
      <c r="M32" s="543"/>
      <c r="N32" s="543"/>
      <c r="O32" s="560"/>
      <c r="P32" s="560"/>
      <c r="Q32" s="560"/>
      <c r="R32" s="543"/>
      <c r="S32" s="543"/>
      <c r="T32" s="543"/>
      <c r="U32" s="556"/>
      <c r="V32" s="556"/>
      <c r="W32" s="543"/>
      <c r="X32" s="543"/>
      <c r="Y32" s="543"/>
      <c r="Z32" s="543"/>
      <c r="AA32" s="543"/>
      <c r="AB32" s="543"/>
      <c r="AC32" s="543"/>
      <c r="AD32" s="555"/>
      <c r="AE32" s="555"/>
      <c r="AF32" s="555"/>
      <c r="AG32" s="543"/>
      <c r="AH32" s="543"/>
      <c r="AI32" s="543"/>
      <c r="AJ32" s="543"/>
      <c r="AK32" s="543"/>
      <c r="AL32" s="543"/>
      <c r="AM32" s="543"/>
      <c r="AN32" s="543"/>
      <c r="AO32" s="543"/>
      <c r="AP32" s="543"/>
      <c r="AQ32" s="543"/>
    </row>
    <row r="33" spans="4:43">
      <c r="D33" s="565"/>
      <c r="E33" s="583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5"/>
      <c r="Q33" s="565"/>
      <c r="R33" s="565"/>
      <c r="S33" s="565"/>
      <c r="T33" s="565"/>
      <c r="AO33" s="565"/>
      <c r="AP33" s="565"/>
      <c r="AQ33" s="565"/>
    </row>
    <row r="34" spans="4:43">
      <c r="E34" s="131"/>
      <c r="F34" s="565"/>
      <c r="G34" s="565"/>
      <c r="H34" s="565"/>
      <c r="I34" s="565"/>
      <c r="J34" s="565"/>
      <c r="K34" s="565"/>
      <c r="L34" s="565"/>
      <c r="M34" s="565"/>
      <c r="N34" s="565"/>
      <c r="O34" s="565"/>
      <c r="P34" s="565"/>
      <c r="Q34" s="565"/>
      <c r="R34" s="565"/>
      <c r="S34" s="565"/>
      <c r="T34" s="565"/>
      <c r="AO34" s="565"/>
      <c r="AP34" s="565"/>
      <c r="AQ34" s="565"/>
    </row>
    <row r="35" spans="4:43">
      <c r="F35" s="565"/>
      <c r="G35" s="565"/>
      <c r="H35" s="565"/>
      <c r="I35" s="565"/>
      <c r="J35" s="565"/>
      <c r="K35" s="565"/>
      <c r="L35" s="565"/>
      <c r="M35" s="565"/>
      <c r="N35" s="565"/>
      <c r="O35" s="565"/>
      <c r="P35" s="565"/>
      <c r="Q35" s="565"/>
      <c r="R35" s="565"/>
      <c r="S35" s="565"/>
      <c r="T35" s="565"/>
      <c r="AO35" s="565"/>
      <c r="AP35" s="565"/>
      <c r="AQ35" s="565"/>
    </row>
    <row r="36" spans="4:43">
      <c r="E36" s="584"/>
      <c r="H36" s="565"/>
      <c r="I36" s="565"/>
      <c r="J36" s="565"/>
      <c r="K36" s="565"/>
      <c r="L36" s="565"/>
      <c r="M36" s="565"/>
      <c r="N36" s="565"/>
      <c r="O36" s="565"/>
      <c r="P36" s="565"/>
      <c r="Q36" s="565"/>
      <c r="R36" s="565"/>
      <c r="S36" s="565"/>
      <c r="T36" s="565"/>
      <c r="AO36" s="565"/>
      <c r="AP36" s="565"/>
      <c r="AQ36" s="565"/>
    </row>
    <row r="37" spans="4:43">
      <c r="E37" s="584"/>
      <c r="H37" s="565"/>
      <c r="I37" s="565"/>
      <c r="J37" s="565"/>
      <c r="K37" s="565"/>
      <c r="L37" s="565"/>
      <c r="M37" s="565"/>
      <c r="N37" s="565"/>
      <c r="O37" s="565"/>
      <c r="P37" s="565"/>
      <c r="Q37" s="565"/>
      <c r="R37" s="565"/>
      <c r="S37" s="565"/>
      <c r="T37" s="565"/>
      <c r="AO37" s="565"/>
      <c r="AP37" s="565"/>
      <c r="AQ37" s="565"/>
    </row>
    <row r="38" spans="4:43">
      <c r="H38" s="565"/>
      <c r="I38" s="565"/>
      <c r="J38" s="565"/>
      <c r="K38" s="565"/>
      <c r="L38" s="565"/>
      <c r="M38" s="565"/>
      <c r="N38" s="565"/>
      <c r="O38" s="565"/>
      <c r="P38" s="565"/>
      <c r="Q38" s="565"/>
      <c r="R38" s="565"/>
      <c r="S38" s="565"/>
      <c r="T38" s="565"/>
      <c r="AO38" s="565"/>
      <c r="AP38" s="565"/>
      <c r="AQ38" s="565"/>
    </row>
    <row r="39" spans="4:43">
      <c r="F39" s="565"/>
      <c r="G39" s="565"/>
      <c r="H39" s="565"/>
      <c r="I39" s="565"/>
      <c r="J39" s="565"/>
      <c r="K39" s="565"/>
      <c r="L39" s="565"/>
      <c r="M39" s="565"/>
      <c r="N39" s="565"/>
      <c r="O39" s="565"/>
      <c r="P39" s="565"/>
      <c r="Q39" s="565"/>
      <c r="R39" s="565"/>
      <c r="S39" s="565"/>
      <c r="T39" s="565"/>
      <c r="AO39" s="565"/>
      <c r="AP39" s="565"/>
      <c r="AQ39" s="565"/>
    </row>
    <row r="40" spans="4:43">
      <c r="F40" s="565"/>
      <c r="G40" s="565"/>
      <c r="H40" s="565"/>
      <c r="I40" s="565"/>
      <c r="J40" s="565"/>
      <c r="K40" s="565"/>
      <c r="L40" s="565"/>
      <c r="M40" s="565"/>
      <c r="N40" s="565"/>
      <c r="O40" s="565"/>
      <c r="P40" s="565"/>
      <c r="Q40" s="565"/>
      <c r="R40" s="565"/>
      <c r="S40" s="565"/>
      <c r="T40" s="565"/>
      <c r="AO40" s="565"/>
      <c r="AP40" s="565"/>
      <c r="AQ40" s="565"/>
    </row>
    <row r="41" spans="4:43">
      <c r="F41" s="565"/>
      <c r="G41" s="565"/>
      <c r="H41" s="565"/>
      <c r="I41" s="565"/>
      <c r="J41" s="565"/>
      <c r="K41" s="565"/>
      <c r="L41" s="565"/>
      <c r="M41" s="565"/>
      <c r="N41" s="565"/>
      <c r="O41" s="565"/>
      <c r="P41" s="565"/>
      <c r="Q41" s="565"/>
      <c r="R41" s="565"/>
      <c r="S41" s="565"/>
      <c r="T41" s="565"/>
      <c r="AO41" s="565"/>
      <c r="AP41" s="565"/>
      <c r="AQ41" s="565"/>
    </row>
    <row r="42" spans="4:43">
      <c r="F42" s="565"/>
      <c r="G42" s="565"/>
      <c r="H42" s="565"/>
      <c r="I42" s="565"/>
      <c r="J42" s="565"/>
      <c r="K42" s="565"/>
      <c r="L42" s="565"/>
      <c r="M42" s="565"/>
      <c r="N42" s="565"/>
      <c r="O42" s="565"/>
      <c r="P42" s="565"/>
      <c r="Q42" s="565"/>
      <c r="R42" s="565"/>
      <c r="S42" s="565"/>
      <c r="T42" s="565"/>
      <c r="AO42" s="565"/>
      <c r="AP42" s="565"/>
      <c r="AQ42" s="565"/>
    </row>
    <row r="43" spans="4:43">
      <c r="F43" s="565"/>
      <c r="G43" s="565"/>
      <c r="H43" s="565"/>
      <c r="I43" s="565"/>
      <c r="J43" s="565"/>
      <c r="K43" s="565"/>
      <c r="L43" s="565"/>
      <c r="M43" s="565"/>
      <c r="N43" s="565"/>
      <c r="O43" s="565"/>
      <c r="P43" s="565"/>
      <c r="Q43" s="565"/>
      <c r="R43" s="565"/>
      <c r="S43" s="565"/>
      <c r="T43" s="565"/>
      <c r="AO43" s="565"/>
      <c r="AP43" s="565"/>
      <c r="AQ43" s="565"/>
    </row>
    <row r="44" spans="4:43">
      <c r="F44" s="565"/>
      <c r="G44" s="565"/>
      <c r="H44" s="565"/>
      <c r="I44" s="565"/>
      <c r="J44" s="565"/>
      <c r="K44" s="565"/>
      <c r="L44" s="565"/>
      <c r="M44" s="565"/>
      <c r="N44" s="565"/>
      <c r="O44" s="565"/>
      <c r="P44" s="565"/>
      <c r="Q44" s="565"/>
      <c r="R44" s="565"/>
      <c r="S44" s="565"/>
      <c r="T44" s="565"/>
      <c r="AO44" s="565"/>
      <c r="AP44" s="565"/>
      <c r="AQ44" s="565"/>
    </row>
    <row r="45" spans="4:43">
      <c r="F45" s="565"/>
      <c r="G45" s="565"/>
      <c r="H45" s="565"/>
      <c r="I45" s="565"/>
      <c r="J45" s="565"/>
      <c r="K45" s="565"/>
      <c r="L45" s="565"/>
      <c r="M45" s="565"/>
      <c r="N45" s="565"/>
      <c r="O45" s="565"/>
      <c r="P45" s="565"/>
      <c r="Q45" s="565"/>
      <c r="R45" s="565"/>
      <c r="S45" s="565"/>
      <c r="T45" s="565"/>
      <c r="AO45" s="565"/>
      <c r="AP45" s="565"/>
      <c r="AQ45" s="565"/>
    </row>
    <row r="46" spans="4:43">
      <c r="F46" s="565"/>
      <c r="G46" s="565"/>
      <c r="H46" s="565"/>
      <c r="I46" s="565"/>
      <c r="J46" s="565"/>
      <c r="K46" s="565"/>
      <c r="L46" s="565"/>
      <c r="M46" s="565"/>
      <c r="N46" s="565"/>
      <c r="O46" s="565"/>
      <c r="P46" s="565"/>
      <c r="Q46" s="565"/>
      <c r="R46" s="565"/>
      <c r="S46" s="565"/>
      <c r="T46" s="565"/>
      <c r="AO46" s="565"/>
      <c r="AP46" s="565"/>
      <c r="AQ46" s="565"/>
    </row>
    <row r="47" spans="4:43">
      <c r="F47" s="565"/>
      <c r="G47" s="565"/>
      <c r="H47" s="565"/>
      <c r="I47" s="565"/>
      <c r="J47" s="565"/>
      <c r="K47" s="565"/>
      <c r="L47" s="565"/>
      <c r="M47" s="565"/>
      <c r="N47" s="565"/>
      <c r="O47" s="565"/>
      <c r="P47" s="565"/>
      <c r="Q47" s="565"/>
      <c r="R47" s="565"/>
      <c r="S47" s="565"/>
      <c r="T47" s="565"/>
      <c r="AO47" s="565"/>
      <c r="AP47" s="565"/>
      <c r="AQ47" s="565"/>
    </row>
    <row r="48" spans="4:43">
      <c r="F48" s="565"/>
      <c r="G48" s="565"/>
      <c r="H48" s="565"/>
      <c r="I48" s="565"/>
      <c r="J48" s="565"/>
      <c r="K48" s="565"/>
      <c r="L48" s="565"/>
      <c r="M48" s="565"/>
      <c r="N48" s="565"/>
      <c r="O48" s="565"/>
      <c r="P48" s="565"/>
      <c r="Q48" s="565"/>
      <c r="R48" s="565"/>
      <c r="S48" s="565"/>
      <c r="T48" s="565"/>
      <c r="AO48" s="565"/>
      <c r="AP48" s="565"/>
      <c r="AQ48" s="565"/>
    </row>
    <row r="49" spans="6:43"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AO49" s="565"/>
      <c r="AP49" s="565"/>
      <c r="AQ49" s="565"/>
    </row>
    <row r="50" spans="6:43"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AO50" s="565"/>
      <c r="AP50" s="565"/>
      <c r="AQ50" s="565"/>
    </row>
    <row r="51" spans="6:43">
      <c r="F51" s="565"/>
      <c r="G51" s="565"/>
      <c r="H51" s="565"/>
      <c r="I51" s="565"/>
      <c r="J51" s="565"/>
      <c r="K51" s="565"/>
      <c r="L51" s="565"/>
      <c r="M51" s="565"/>
      <c r="N51" s="565"/>
      <c r="O51" s="565"/>
      <c r="P51" s="565"/>
      <c r="Q51" s="565"/>
      <c r="R51" s="565"/>
      <c r="S51" s="565"/>
      <c r="T51" s="565"/>
      <c r="AO51" s="565"/>
      <c r="AP51" s="565"/>
      <c r="AQ51" s="565"/>
    </row>
    <row r="52" spans="6:43">
      <c r="F52" s="565"/>
      <c r="G52" s="565"/>
      <c r="H52" s="565"/>
      <c r="I52" s="565"/>
      <c r="J52" s="565"/>
      <c r="K52" s="565"/>
      <c r="L52" s="565"/>
      <c r="M52" s="565"/>
      <c r="N52" s="565"/>
      <c r="O52" s="565"/>
      <c r="P52" s="565"/>
      <c r="Q52" s="565"/>
      <c r="R52" s="565"/>
      <c r="S52" s="565"/>
      <c r="T52" s="565"/>
      <c r="AO52" s="565"/>
      <c r="AP52" s="565"/>
      <c r="AQ52" s="565"/>
    </row>
    <row r="53" spans="6:43">
      <c r="F53" s="565"/>
      <c r="G53" s="565"/>
      <c r="H53" s="565"/>
      <c r="I53" s="565"/>
      <c r="J53" s="565"/>
      <c r="K53" s="565"/>
      <c r="L53" s="565"/>
      <c r="M53" s="565"/>
      <c r="N53" s="565"/>
      <c r="O53" s="565"/>
      <c r="P53" s="565"/>
      <c r="Q53" s="565"/>
      <c r="R53" s="565"/>
      <c r="S53" s="565"/>
      <c r="T53" s="565"/>
      <c r="AO53" s="565"/>
      <c r="AP53" s="565"/>
      <c r="AQ53" s="565"/>
    </row>
    <row r="54" spans="6:43">
      <c r="F54" s="565"/>
      <c r="G54" s="565"/>
      <c r="H54" s="565"/>
      <c r="I54" s="565"/>
      <c r="J54" s="565"/>
      <c r="K54" s="565"/>
      <c r="L54" s="565"/>
      <c r="M54" s="565"/>
      <c r="N54" s="565"/>
      <c r="O54" s="565"/>
      <c r="P54" s="565"/>
      <c r="Q54" s="565"/>
      <c r="R54" s="565"/>
      <c r="S54" s="565"/>
      <c r="T54" s="565"/>
      <c r="AO54" s="565"/>
      <c r="AP54" s="565"/>
      <c r="AQ54" s="565"/>
    </row>
    <row r="55" spans="6:43"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5"/>
      <c r="S55" s="565"/>
      <c r="T55" s="565"/>
      <c r="AO55" s="565"/>
      <c r="AP55" s="565"/>
      <c r="AQ55" s="565"/>
    </row>
    <row r="56" spans="6:43">
      <c r="F56" s="565"/>
      <c r="G56" s="565"/>
      <c r="H56" s="565"/>
      <c r="I56" s="565"/>
      <c r="J56" s="565"/>
      <c r="K56" s="565"/>
      <c r="L56" s="565"/>
      <c r="M56" s="565"/>
      <c r="N56" s="565"/>
      <c r="O56" s="565"/>
      <c r="P56" s="565"/>
      <c r="Q56" s="565"/>
      <c r="R56" s="565"/>
      <c r="S56" s="565"/>
      <c r="T56" s="565"/>
      <c r="AO56" s="565"/>
      <c r="AP56" s="565"/>
      <c r="AQ56" s="565"/>
    </row>
    <row r="57" spans="6:43">
      <c r="F57" s="565"/>
      <c r="G57" s="565"/>
      <c r="H57" s="565"/>
      <c r="I57" s="565"/>
      <c r="J57" s="565"/>
      <c r="K57" s="565"/>
      <c r="L57" s="565"/>
      <c r="M57" s="565"/>
      <c r="N57" s="565"/>
      <c r="O57" s="565"/>
      <c r="P57" s="565"/>
      <c r="Q57" s="565"/>
      <c r="R57" s="565"/>
      <c r="S57" s="565"/>
      <c r="T57" s="565"/>
      <c r="AO57" s="565"/>
      <c r="AP57" s="565"/>
      <c r="AQ57" s="565"/>
    </row>
    <row r="58" spans="6:43">
      <c r="F58" s="565"/>
      <c r="G58" s="565"/>
      <c r="H58" s="565"/>
      <c r="I58" s="565"/>
      <c r="J58" s="565"/>
      <c r="K58" s="565"/>
      <c r="L58" s="565"/>
      <c r="M58" s="565"/>
      <c r="N58" s="565"/>
      <c r="O58" s="565"/>
      <c r="P58" s="565"/>
      <c r="Q58" s="565"/>
      <c r="R58" s="565"/>
      <c r="S58" s="565"/>
      <c r="T58" s="565"/>
      <c r="AO58" s="565"/>
      <c r="AP58" s="565"/>
      <c r="AQ58" s="565"/>
    </row>
    <row r="59" spans="6:43">
      <c r="F59" s="565"/>
      <c r="G59" s="565"/>
      <c r="H59" s="565"/>
      <c r="I59" s="565"/>
      <c r="J59" s="565"/>
      <c r="K59" s="565"/>
      <c r="L59" s="565"/>
      <c r="M59" s="565"/>
      <c r="N59" s="565"/>
      <c r="O59" s="565"/>
      <c r="P59" s="565"/>
      <c r="Q59" s="565"/>
      <c r="R59" s="565"/>
      <c r="S59" s="565"/>
      <c r="T59" s="565"/>
      <c r="AO59" s="565"/>
      <c r="AP59" s="565"/>
      <c r="AQ59" s="565"/>
    </row>
    <row r="60" spans="6:43"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AO60" s="565"/>
      <c r="AP60" s="565"/>
      <c r="AQ60" s="565"/>
    </row>
    <row r="61" spans="6:43">
      <c r="F61" s="565"/>
      <c r="G61" s="565"/>
      <c r="H61" s="565"/>
      <c r="I61" s="565"/>
      <c r="J61" s="565"/>
      <c r="K61" s="565"/>
      <c r="L61" s="565"/>
      <c r="M61" s="565"/>
      <c r="N61" s="565"/>
      <c r="O61" s="565"/>
      <c r="P61" s="565"/>
      <c r="Q61" s="565"/>
      <c r="R61" s="565"/>
      <c r="S61" s="565"/>
      <c r="T61" s="565"/>
      <c r="AO61" s="565"/>
      <c r="AP61" s="565"/>
      <c r="AQ61" s="565"/>
    </row>
    <row r="62" spans="6:43">
      <c r="F62" s="565"/>
      <c r="G62" s="565"/>
      <c r="H62" s="565"/>
      <c r="I62" s="565"/>
      <c r="J62" s="565"/>
      <c r="K62" s="565"/>
      <c r="L62" s="565"/>
      <c r="M62" s="565"/>
      <c r="N62" s="565"/>
      <c r="O62" s="565"/>
      <c r="P62" s="565"/>
      <c r="Q62" s="565"/>
      <c r="R62" s="565"/>
      <c r="S62" s="565"/>
      <c r="T62" s="565"/>
      <c r="AO62" s="565"/>
      <c r="AP62" s="565"/>
      <c r="AQ62" s="565"/>
    </row>
    <row r="63" spans="6:43">
      <c r="F63" s="565"/>
      <c r="G63" s="565"/>
      <c r="H63" s="565"/>
      <c r="I63" s="565"/>
      <c r="J63" s="565"/>
      <c r="K63" s="565"/>
      <c r="L63" s="565"/>
      <c r="M63" s="565"/>
      <c r="N63" s="565"/>
      <c r="O63" s="565"/>
      <c r="P63" s="565"/>
      <c r="Q63" s="565"/>
      <c r="R63" s="565"/>
      <c r="S63" s="565"/>
      <c r="T63" s="565"/>
      <c r="AO63" s="565"/>
      <c r="AP63" s="565"/>
      <c r="AQ63" s="565"/>
    </row>
    <row r="64" spans="6:43">
      <c r="F64" s="565"/>
      <c r="G64" s="565"/>
      <c r="H64" s="565"/>
      <c r="I64" s="565"/>
      <c r="J64" s="565"/>
      <c r="K64" s="565"/>
      <c r="L64" s="565"/>
      <c r="M64" s="565"/>
      <c r="N64" s="565"/>
      <c r="O64" s="565"/>
      <c r="P64" s="565"/>
      <c r="Q64" s="565"/>
      <c r="R64" s="565"/>
      <c r="S64" s="565"/>
      <c r="T64" s="565"/>
      <c r="AO64" s="565"/>
      <c r="AP64" s="565"/>
      <c r="AQ64" s="565"/>
    </row>
    <row r="65" spans="6:43"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5"/>
      <c r="S65" s="565"/>
      <c r="T65" s="565"/>
      <c r="AO65" s="565"/>
      <c r="AP65" s="565"/>
      <c r="AQ65" s="565"/>
    </row>
    <row r="66" spans="6:43">
      <c r="F66" s="565"/>
      <c r="G66" s="565"/>
      <c r="H66" s="565"/>
      <c r="I66" s="565"/>
      <c r="J66" s="565"/>
      <c r="K66" s="565"/>
      <c r="L66" s="565"/>
      <c r="M66" s="565"/>
      <c r="N66" s="565"/>
      <c r="O66" s="565"/>
      <c r="P66" s="565"/>
      <c r="Q66" s="565"/>
      <c r="R66" s="565"/>
      <c r="S66" s="565"/>
      <c r="T66" s="565"/>
      <c r="AO66" s="565"/>
      <c r="AP66" s="565"/>
      <c r="AQ66" s="565"/>
    </row>
    <row r="67" spans="6:43">
      <c r="F67" s="565"/>
      <c r="G67" s="565"/>
      <c r="H67" s="565"/>
      <c r="I67" s="565"/>
      <c r="J67" s="565"/>
      <c r="K67" s="565"/>
      <c r="L67" s="565"/>
      <c r="M67" s="565"/>
      <c r="N67" s="565"/>
      <c r="O67" s="565"/>
      <c r="P67" s="565"/>
      <c r="Q67" s="565"/>
      <c r="R67" s="565"/>
      <c r="S67" s="565"/>
      <c r="T67" s="565"/>
      <c r="AO67" s="565"/>
      <c r="AP67" s="565"/>
      <c r="AQ67" s="565"/>
    </row>
    <row r="68" spans="6:43">
      <c r="F68" s="565"/>
      <c r="G68" s="565"/>
      <c r="H68" s="565"/>
      <c r="I68" s="565"/>
      <c r="J68" s="565"/>
      <c r="K68" s="565"/>
      <c r="L68" s="565"/>
      <c r="M68" s="565"/>
      <c r="N68" s="565"/>
      <c r="O68" s="565"/>
      <c r="P68" s="565"/>
      <c r="Q68" s="565"/>
      <c r="R68" s="565"/>
      <c r="S68" s="565"/>
      <c r="T68" s="565"/>
      <c r="AO68" s="565"/>
      <c r="AP68" s="565"/>
      <c r="AQ68" s="565"/>
    </row>
    <row r="69" spans="6:43">
      <c r="F69" s="565"/>
      <c r="G69" s="565"/>
      <c r="H69" s="565"/>
      <c r="I69" s="565"/>
      <c r="J69" s="565"/>
      <c r="K69" s="565"/>
      <c r="L69" s="565"/>
      <c r="M69" s="565"/>
      <c r="N69" s="565"/>
      <c r="O69" s="565"/>
      <c r="P69" s="565"/>
      <c r="Q69" s="565"/>
      <c r="R69" s="565"/>
      <c r="S69" s="565"/>
      <c r="T69" s="565"/>
      <c r="AO69" s="565"/>
      <c r="AP69" s="565"/>
      <c r="AQ69" s="565"/>
    </row>
    <row r="70" spans="6:43">
      <c r="F70" s="565"/>
      <c r="G70" s="565"/>
      <c r="H70" s="565"/>
      <c r="I70" s="565"/>
      <c r="J70" s="565"/>
      <c r="K70" s="565"/>
      <c r="L70" s="565"/>
      <c r="M70" s="565"/>
      <c r="N70" s="565"/>
      <c r="O70" s="565"/>
      <c r="P70" s="565"/>
      <c r="Q70" s="565"/>
      <c r="R70" s="565"/>
      <c r="S70" s="565"/>
      <c r="T70" s="565"/>
      <c r="AO70" s="565"/>
      <c r="AP70" s="565"/>
      <c r="AQ70" s="565"/>
    </row>
  </sheetData>
  <mergeCells count="3">
    <mergeCell ref="F12:L12"/>
    <mergeCell ref="M12:N12"/>
    <mergeCell ref="U12:AA12"/>
  </mergeCells>
  <phoneticPr fontId="0" type="noConversion"/>
  <pageMargins left="0.39370078740157483" right="0.19685039370078741" top="0.94488188976377963" bottom="0.98425196850393704" header="0.27559055118110237" footer="0.51181102362204722"/>
  <pageSetup paperSize="9" scale="34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3"/>
  <dimension ref="A1:T38"/>
  <sheetViews>
    <sheetView showZeros="0" view="pageBreakPreview" zoomScaleNormal="100" zoomScaleSheetLayoutView="100" workbookViewId="0"/>
  </sheetViews>
  <sheetFormatPr defaultColWidth="11.42578125" defaultRowHeight="12.75" outlineLevelRow="2"/>
  <cols>
    <col min="1" max="1" width="46.140625" bestFit="1" customWidth="1"/>
    <col min="2" max="2" width="16.85546875" style="10" customWidth="1"/>
    <col min="3" max="3" width="18.42578125" customWidth="1"/>
    <col min="4" max="4" width="15.140625" customWidth="1"/>
    <col min="5" max="5" width="18.140625" style="23" bestFit="1" customWidth="1"/>
    <col min="6" max="6" width="1.42578125" customWidth="1"/>
  </cols>
  <sheetData>
    <row r="1" spans="1:20" ht="21.75" customHeight="1">
      <c r="A1" s="31" t="str">
        <f>Inventaire!B1</f>
        <v>SANCY - SLP</v>
      </c>
      <c r="B1" s="227"/>
      <c r="C1" s="31" t="s">
        <v>321</v>
      </c>
      <c r="D1" s="18"/>
      <c r="E1" s="226">
        <f>Sommaire!C1</f>
        <v>46022</v>
      </c>
    </row>
    <row r="2" spans="1:20" ht="15">
      <c r="A2" s="18"/>
      <c r="C2" s="18"/>
      <c r="D2" s="18"/>
      <c r="E2" s="225"/>
    </row>
    <row r="4" spans="1:20">
      <c r="B4" s="1203" t="s">
        <v>9</v>
      </c>
      <c r="C4" s="1203" t="s">
        <v>322</v>
      </c>
      <c r="D4" s="1203" t="s">
        <v>103</v>
      </c>
    </row>
    <row r="5" spans="1:20">
      <c r="B5" s="1204" t="s">
        <v>308</v>
      </c>
      <c r="C5" s="1205">
        <f>Inventaire!F8</f>
        <v>15379.56</v>
      </c>
      <c r="D5" s="1206">
        <f>Inventaire!F9</f>
        <v>745.47026800000003</v>
      </c>
    </row>
    <row r="6" spans="1:20">
      <c r="B6" s="1204" t="s">
        <v>11</v>
      </c>
      <c r="C6" s="1205">
        <f>Inventaire!G8</f>
        <v>1</v>
      </c>
      <c r="D6" s="1206">
        <f>Inventaire!G9</f>
        <v>745.47026800000003</v>
      </c>
    </row>
    <row r="7" spans="1:20">
      <c r="B7"/>
    </row>
    <row r="9" spans="1:20" ht="25.5">
      <c r="A9" s="1109" t="s">
        <v>323</v>
      </c>
      <c r="B9" s="1109" t="s">
        <v>9</v>
      </c>
      <c r="C9" s="1109" t="s">
        <v>324</v>
      </c>
      <c r="D9" s="1109" t="s">
        <v>325</v>
      </c>
      <c r="E9" s="1207" t="s">
        <v>326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spans="1:20" outlineLevel="2">
      <c r="A10" s="1208" t="str">
        <f>'Sous-Rachat'!B16</f>
        <v>Pantheon Global Private Credit Gt Fund, L.P.</v>
      </c>
      <c r="B10" s="1209" t="str">
        <f>VLOOKUP(A10,'Sous-Rachat'!$B$16:$C$24,2,FALSE)</f>
        <v>A</v>
      </c>
      <c r="C10" s="1209">
        <f>VLOOKUP(A10,'Sous-Rachat'!$B$16:$F$24,5,FALSE)</f>
        <v>2306.9299999999998</v>
      </c>
      <c r="D10" s="1210">
        <f>VLOOKUP(B10,$B$5:$D$6,3,FALSE)</f>
        <v>745.47026800000003</v>
      </c>
      <c r="E10" s="1211">
        <f>C10*D10</f>
        <v>1719747.7253572401</v>
      </c>
      <c r="H10" s="25"/>
    </row>
    <row r="11" spans="1:20" outlineLevel="1">
      <c r="A11" s="1212" t="s">
        <v>327</v>
      </c>
      <c r="B11" s="1209"/>
      <c r="C11" s="1209"/>
      <c r="D11" s="1210"/>
      <c r="E11" s="1211">
        <f>SUBTOTAL(9,E10:E10)</f>
        <v>1719747.7253572401</v>
      </c>
      <c r="H11" s="25"/>
    </row>
    <row r="12" spans="1:20" outlineLevel="2">
      <c r="A12" s="1208" t="str">
        <f>'Sous-Rachat'!B17</f>
        <v>Pantheon Global Private Credit Ho Fund, L.P.</v>
      </c>
      <c r="B12" s="1209" t="str">
        <f>VLOOKUP(A12,'Sous-Rachat'!$B$16:$C$24,2,FALSE)</f>
        <v>A</v>
      </c>
      <c r="C12" s="1209">
        <f>VLOOKUP(A12,'Sous-Rachat'!$B$16:$F$24,5,FALSE)</f>
        <v>1537.96</v>
      </c>
      <c r="D12" s="1210">
        <f t="shared" ref="D12:D24" si="0">VLOOKUP(B12,$B$5:$D$6,3,FALSE)</f>
        <v>745.47026800000003</v>
      </c>
      <c r="E12" s="1211">
        <f t="shared" ref="E12:E24" si="1">C12*D12</f>
        <v>1146503.4533732801</v>
      </c>
      <c r="H12" s="25"/>
    </row>
    <row r="13" spans="1:20" outlineLevel="1">
      <c r="A13" s="1212" t="s">
        <v>328</v>
      </c>
      <c r="B13" s="1209"/>
      <c r="C13" s="1209"/>
      <c r="D13" s="1210"/>
      <c r="E13" s="1211">
        <f>SUBTOTAL(9,E12:E12)</f>
        <v>1146503.4533732801</v>
      </c>
      <c r="H13" s="25"/>
    </row>
    <row r="14" spans="1:20" outlineLevel="2">
      <c r="A14" s="1208" t="str">
        <f>'Sous-Rachat'!B18</f>
        <v>Abacus Private Credit</v>
      </c>
      <c r="B14" s="1209" t="str">
        <f>VLOOKUP(A14,'Sous-Rachat'!$B$16:$C$24,2,FALSE)</f>
        <v>A</v>
      </c>
      <c r="C14" s="1209">
        <f>VLOOKUP(A14,'Sous-Rachat'!$B$16:$F$24,5,FALSE)</f>
        <v>1264.74</v>
      </c>
      <c r="D14" s="1210">
        <f>VLOOKUP(B14,$B$5:$D$6,3,FALSE)</f>
        <v>745.47026800000003</v>
      </c>
      <c r="E14" s="1211">
        <f t="shared" si="1"/>
        <v>942826.06675032002</v>
      </c>
      <c r="H14" s="25"/>
    </row>
    <row r="15" spans="1:20" outlineLevel="1">
      <c r="A15" s="1212" t="s">
        <v>329</v>
      </c>
      <c r="B15" s="1209"/>
      <c r="C15" s="1209"/>
      <c r="D15" s="1210"/>
      <c r="E15" s="1211">
        <f>SUBTOTAL(9,E14:E14)</f>
        <v>942826.06675032002</v>
      </c>
      <c r="H15" s="25"/>
    </row>
    <row r="16" spans="1:20" outlineLevel="2">
      <c r="A16" s="1208" t="str">
        <f>'Sous-Rachat'!B19</f>
        <v>Mw River</v>
      </c>
      <c r="B16" s="1209" t="str">
        <f>VLOOKUP(A16,'Sous-Rachat'!$B$16:$C$24,2,FALSE)</f>
        <v>A</v>
      </c>
      <c r="C16" s="1209">
        <f>VLOOKUP(A16,'Sous-Rachat'!$B$16:$F$24,5,FALSE)</f>
        <v>1770.64</v>
      </c>
      <c r="D16" s="1210">
        <f t="shared" si="0"/>
        <v>745.47026800000003</v>
      </c>
      <c r="E16" s="1211">
        <f t="shared" si="1"/>
        <v>1319959.4753315202</v>
      </c>
      <c r="H16" s="25"/>
    </row>
    <row r="17" spans="1:8" outlineLevel="1">
      <c r="A17" s="1212" t="s">
        <v>330</v>
      </c>
      <c r="B17" s="1209"/>
      <c r="C17" s="1209"/>
      <c r="D17" s="1210"/>
      <c r="E17" s="1211">
        <f>SUBTOTAL(9,E16:E16)</f>
        <v>1319959.4753315202</v>
      </c>
      <c r="H17" s="25"/>
    </row>
    <row r="18" spans="1:8" outlineLevel="2">
      <c r="A18" s="1208" t="str">
        <f>'Sous-Rachat'!B20</f>
        <v>Eiger</v>
      </c>
      <c r="B18" s="1209" t="str">
        <f>VLOOKUP(A18,'Sous-Rachat'!$B$16:$C$24,2,FALSE)</f>
        <v>A</v>
      </c>
      <c r="C18" s="1209">
        <f>VLOOKUP(A18,'Sous-Rachat'!$B$16:$F$24,5,FALSE)</f>
        <v>8436.0499999999993</v>
      </c>
      <c r="D18" s="1210">
        <f t="shared" si="0"/>
        <v>745.47026800000003</v>
      </c>
      <c r="E18" s="1211">
        <f t="shared" si="1"/>
        <v>6288824.4543613996</v>
      </c>
      <c r="H18" s="25"/>
    </row>
    <row r="19" spans="1:8" outlineLevel="1">
      <c r="A19" s="1212" t="s">
        <v>331</v>
      </c>
      <c r="B19" s="1209"/>
      <c r="C19" s="1209"/>
      <c r="D19" s="1210"/>
      <c r="E19" s="1211">
        <f>SUBTOTAL(9,E18:E18)</f>
        <v>6288824.4543613996</v>
      </c>
      <c r="H19" s="25"/>
    </row>
    <row r="20" spans="1:8" outlineLevel="2">
      <c r="A20" s="1208" t="str">
        <f>'Sous-Rachat'!B21</f>
        <v>VI Advisory</v>
      </c>
      <c r="B20" s="1209" t="str">
        <f>VLOOKUP(A20,'Sous-Rachat'!$B$16:$C$24,2,FALSE)</f>
        <v>A</v>
      </c>
      <c r="C20" s="1209">
        <f>VLOOKUP(A20,'Sous-Rachat'!$B$16:$F$24,5,FALSE)</f>
        <v>12.65</v>
      </c>
      <c r="D20" s="1210">
        <f t="shared" si="0"/>
        <v>745.47026800000003</v>
      </c>
      <c r="E20" s="1211">
        <f t="shared" si="1"/>
        <v>9430.1988902000012</v>
      </c>
      <c r="H20" s="25"/>
    </row>
    <row r="21" spans="1:8" outlineLevel="1">
      <c r="A21" s="1212" t="s">
        <v>332</v>
      </c>
      <c r="B21" s="1209"/>
      <c r="C21" s="1209"/>
      <c r="D21" s="1210"/>
      <c r="E21" s="1211">
        <f>SUBTOTAL(9,E20:E20)</f>
        <v>9430.1988902000012</v>
      </c>
      <c r="H21" s="25"/>
    </row>
    <row r="22" spans="1:8" outlineLevel="2">
      <c r="A22" s="1208" t="str">
        <f>'Sous-Rachat'!B22</f>
        <v>AMER PARTNERS</v>
      </c>
      <c r="B22" s="1209" t="str">
        <f>VLOOKUP(A22,'Sous-Rachat'!$B$16:$C$24,2,FALSE)</f>
        <v>A</v>
      </c>
      <c r="C22" s="1209">
        <f>VLOOKUP(A22,'Sous-Rachat'!$B$16:$F$24,5,FALSE)</f>
        <v>37.94</v>
      </c>
      <c r="D22" s="1210">
        <f t="shared" si="0"/>
        <v>745.47026800000003</v>
      </c>
      <c r="E22" s="1211">
        <f t="shared" si="1"/>
        <v>28283.141967920001</v>
      </c>
      <c r="H22" s="25"/>
    </row>
    <row r="23" spans="1:8" outlineLevel="1">
      <c r="A23" s="1212" t="s">
        <v>333</v>
      </c>
      <c r="B23" s="1209"/>
      <c r="C23" s="1209"/>
      <c r="D23" s="1210"/>
      <c r="E23" s="1211">
        <f>SUBTOTAL(9,E22:E22)</f>
        <v>28283.141967920001</v>
      </c>
      <c r="H23" s="25"/>
    </row>
    <row r="24" spans="1:8" outlineLevel="2">
      <c r="A24" s="1208" t="str">
        <f>'Sous-Rachat'!B23</f>
        <v>KTALYST INVESTMENTS</v>
      </c>
      <c r="B24" s="1209" t="str">
        <f>VLOOKUP(A24,'Sous-Rachat'!$B$16:$C$24,2,FALSE)</f>
        <v>A</v>
      </c>
      <c r="C24" s="1209">
        <f>VLOOKUP(A24,'Sous-Rachat'!$B$16:$F$24,5,FALSE)</f>
        <v>12.65</v>
      </c>
      <c r="D24" s="1210">
        <f t="shared" si="0"/>
        <v>745.47026800000003</v>
      </c>
      <c r="E24" s="1211">
        <f t="shared" si="1"/>
        <v>9430.1988902000012</v>
      </c>
      <c r="H24" s="25"/>
    </row>
    <row r="25" spans="1:8" outlineLevel="1">
      <c r="A25" s="1212" t="s">
        <v>334</v>
      </c>
      <c r="B25" s="1209"/>
      <c r="C25" s="1209"/>
      <c r="D25" s="1210"/>
      <c r="E25" s="1211">
        <f>SUBTOTAL(9,E24:E24)</f>
        <v>9430.1988902000012</v>
      </c>
      <c r="H25" s="25"/>
    </row>
    <row r="26" spans="1:8" outlineLevel="2">
      <c r="A26" s="1208" t="str">
        <f>'Sous-Rachat'!B28</f>
        <v>Part de Commandité</v>
      </c>
      <c r="B26" s="1209" t="str">
        <f>VLOOKUP(A26,'Sous-Rachat'!$B$28:$C$28,2,FALSE)</f>
        <v>Commandité</v>
      </c>
      <c r="C26" s="1209">
        <f>VLOOKUP(A26,'Sous-Rachat'!$B$28:$F$28,5,FALSE)</f>
        <v>1</v>
      </c>
      <c r="D26" s="1210">
        <f t="shared" ref="D26" si="2">VLOOKUP(B26,$B$5:$D$7,3,FALSE)</f>
        <v>745.47026800000003</v>
      </c>
      <c r="E26" s="1211">
        <f t="shared" ref="E26" si="3">C26*D26</f>
        <v>745.47026800000003</v>
      </c>
      <c r="H26" s="25"/>
    </row>
    <row r="27" spans="1:8" outlineLevel="1">
      <c r="A27" s="1" t="s">
        <v>335</v>
      </c>
      <c r="B27" s="37"/>
      <c r="C27" s="37"/>
      <c r="D27" s="238"/>
      <c r="E27" s="237">
        <f>SUBTOTAL(9,E26:E26)</f>
        <v>745.47026800000003</v>
      </c>
      <c r="H27" s="25"/>
    </row>
    <row r="28" spans="1:8">
      <c r="A28" s="1" t="s">
        <v>336</v>
      </c>
      <c r="B28" s="37"/>
      <c r="C28" s="37"/>
      <c r="D28" s="238"/>
      <c r="E28" s="237">
        <f>SUBTOTAL(9,E10:E26)</f>
        <v>11465750.18519008</v>
      </c>
      <c r="H28" s="25"/>
    </row>
    <row r="29" spans="1:8">
      <c r="A29" s="1"/>
      <c r="B29" s="37"/>
      <c r="C29" s="37"/>
      <c r="D29" s="238"/>
      <c r="E29" s="237"/>
      <c r="H29" s="25"/>
    </row>
    <row r="30" spans="1:8">
      <c r="A30" s="1"/>
      <c r="B30" s="37"/>
      <c r="C30" s="25"/>
      <c r="D30" s="7"/>
      <c r="H30" s="25"/>
    </row>
    <row r="31" spans="1:8">
      <c r="A31" s="1"/>
      <c r="B31" s="37"/>
      <c r="C31" s="25"/>
      <c r="D31" s="314">
        <f>C32-E36</f>
        <v>0</v>
      </c>
      <c r="H31" s="25"/>
    </row>
    <row r="32" spans="1:8">
      <c r="B32" s="10" t="s">
        <v>101</v>
      </c>
      <c r="C32" s="23">
        <f>SUM(C10:C26)</f>
        <v>15380.56</v>
      </c>
      <c r="D32" s="315" t="str">
        <f>+IF(C32=E36,"OK","Anomalie")</f>
        <v>OK</v>
      </c>
    </row>
    <row r="33" spans="3:5">
      <c r="C33" t="s">
        <v>337</v>
      </c>
      <c r="E33" s="23">
        <f>Inventaire!C7</f>
        <v>11465750.199999999</v>
      </c>
    </row>
    <row r="35" spans="3:5">
      <c r="C35" t="s">
        <v>338</v>
      </c>
      <c r="E35" s="23">
        <f>+E33-E28</f>
        <v>1.4809919521212578E-2</v>
      </c>
    </row>
    <row r="36" spans="3:5">
      <c r="C36" t="s">
        <v>101</v>
      </c>
      <c r="E36" s="23">
        <f>SUM(C5:C7)</f>
        <v>15380.56</v>
      </c>
    </row>
    <row r="37" spans="3:5">
      <c r="C37" t="s">
        <v>339</v>
      </c>
      <c r="E37" s="228">
        <f>+E35/E36</f>
        <v>9.6289858894686392E-7</v>
      </c>
    </row>
    <row r="38" spans="3:5">
      <c r="C38" t="s">
        <v>340</v>
      </c>
      <c r="E38" s="46" t="str">
        <f>IF(ABS(E37)&lt;0.01,"OK","Anomalie")</f>
        <v>OK</v>
      </c>
    </row>
  </sheetData>
  <autoFilter ref="A9:E26" xr:uid="{00000000-0001-0000-0900-000000000000}">
    <sortState xmlns:xlrd2="http://schemas.microsoft.com/office/spreadsheetml/2017/richdata2" ref="A10:E30">
      <sortCondition ref="A9:A26"/>
    </sortState>
  </autoFilter>
  <phoneticPr fontId="15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7">
    <pageSetUpPr fitToPage="1"/>
  </sheetPr>
  <dimension ref="B1:S119"/>
  <sheetViews>
    <sheetView view="pageBreakPreview" zoomScaleNormal="100" zoomScaleSheetLayoutView="100" workbookViewId="0"/>
  </sheetViews>
  <sheetFormatPr defaultColWidth="11.42578125" defaultRowHeight="12.75" customHeight="1"/>
  <cols>
    <col min="1" max="1" width="1.5703125" customWidth="1"/>
    <col min="2" max="2" width="55.140625" customWidth="1"/>
    <col min="3" max="3" width="16.85546875" customWidth="1"/>
    <col min="4" max="5" width="11.140625" customWidth="1"/>
    <col min="6" max="6" width="14.140625" customWidth="1"/>
    <col min="7" max="7" width="19" style="23" customWidth="1"/>
    <col min="8" max="8" width="17.5703125" style="23" customWidth="1"/>
    <col min="9" max="9" width="3.42578125" customWidth="1"/>
    <col min="10" max="10" width="16.85546875" bestFit="1" customWidth="1"/>
    <col min="12" max="12" width="23.85546875" customWidth="1"/>
    <col min="16" max="16" width="7.85546875" customWidth="1"/>
    <col min="17" max="18" width="11.42578125" hidden="1" customWidth="1"/>
  </cols>
  <sheetData>
    <row r="1" spans="2:19" s="80" customFormat="1" ht="24.75" customHeight="1">
      <c r="B1" s="85" t="str">
        <f>+Inventaire!B1</f>
        <v>SANCY - SLP</v>
      </c>
      <c r="C1" s="85"/>
      <c r="D1" s="85"/>
      <c r="E1" s="85"/>
      <c r="F1" s="85" t="s">
        <v>13</v>
      </c>
      <c r="G1" s="593"/>
      <c r="H1" s="86">
        <f>Sommaire!C1</f>
        <v>46022</v>
      </c>
    </row>
    <row r="2" spans="2:19" ht="15">
      <c r="B2" s="28"/>
      <c r="C2" s="28"/>
      <c r="D2" s="28"/>
      <c r="E2" s="28"/>
      <c r="F2" s="21"/>
      <c r="G2" s="594"/>
    </row>
    <row r="4" spans="2:19" s="3" customFormat="1" ht="40.5" customHeight="1">
      <c r="B4" s="1213" t="s">
        <v>341</v>
      </c>
      <c r="C4" s="1213"/>
      <c r="D4" s="1213"/>
      <c r="E4" s="1213"/>
      <c r="F4" s="1214"/>
      <c r="G4" s="1215"/>
      <c r="H4" s="1216" t="s">
        <v>342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2:19">
      <c r="B5" s="348" t="s">
        <v>343</v>
      </c>
      <c r="C5" s="348"/>
      <c r="D5" s="348"/>
      <c r="E5" s="348"/>
      <c r="F5" s="349"/>
      <c r="G5" s="595"/>
      <c r="H5" s="350"/>
    </row>
    <row r="6" spans="2:19">
      <c r="B6" s="348"/>
      <c r="C6" s="348"/>
      <c r="D6" s="348"/>
      <c r="E6" s="348"/>
      <c r="F6" s="349"/>
      <c r="G6" s="595"/>
      <c r="H6" s="350"/>
    </row>
    <row r="7" spans="2:19">
      <c r="B7" s="351"/>
      <c r="C7" s="324"/>
      <c r="D7" s="324"/>
      <c r="E7" s="324"/>
      <c r="F7" s="316"/>
      <c r="G7" s="146"/>
      <c r="H7" s="291"/>
    </row>
    <row r="8" spans="2:19">
      <c r="B8" s="351"/>
      <c r="C8" s="324"/>
      <c r="D8" s="324"/>
      <c r="E8" s="324"/>
      <c r="F8" s="316"/>
      <c r="G8" s="146"/>
      <c r="H8" s="291"/>
    </row>
    <row r="9" spans="2:19">
      <c r="B9" s="351"/>
      <c r="C9" s="324"/>
      <c r="D9" s="324"/>
      <c r="E9" s="324"/>
      <c r="F9" s="316"/>
      <c r="G9" s="146"/>
      <c r="H9" s="291"/>
    </row>
    <row r="10" spans="2:19">
      <c r="B10" s="281"/>
      <c r="C10" s="324"/>
      <c r="D10" s="324"/>
      <c r="E10" s="324"/>
      <c r="F10" s="316"/>
      <c r="G10" s="146"/>
      <c r="H10" s="352"/>
    </row>
    <row r="11" spans="2:19">
      <c r="B11" s="353"/>
      <c r="C11" s="353"/>
      <c r="D11" s="353"/>
      <c r="E11" s="353"/>
      <c r="F11" s="354"/>
      <c r="G11" s="595"/>
      <c r="H11" s="355"/>
    </row>
    <row r="12" spans="2:19">
      <c r="B12" s="353"/>
      <c r="C12" s="353"/>
      <c r="D12" s="353"/>
      <c r="E12" s="353"/>
      <c r="F12" s="354"/>
      <c r="G12" s="595"/>
      <c r="H12" s="355"/>
    </row>
    <row r="13" spans="2:19" s="1" customFormat="1">
      <c r="B13" s="1217" t="s">
        <v>344</v>
      </c>
      <c r="C13" s="1218"/>
      <c r="D13" s="1218"/>
      <c r="E13" s="1218"/>
      <c r="F13" s="1218"/>
      <c r="G13" s="1219"/>
      <c r="H13" s="1220">
        <f>SUM(H5:H12)</f>
        <v>0</v>
      </c>
      <c r="I13"/>
    </row>
    <row r="14" spans="2:19" ht="14.25">
      <c r="B14" s="33"/>
      <c r="C14" s="33"/>
      <c r="D14" s="33"/>
      <c r="E14" s="33"/>
      <c r="F14" s="21"/>
      <c r="G14" s="596"/>
      <c r="H14" s="14"/>
      <c r="I14" s="14"/>
    </row>
    <row r="15" spans="2:19">
      <c r="H15"/>
    </row>
    <row r="16" spans="2:19" s="3" customFormat="1" ht="25.5">
      <c r="B16" s="1221" t="s">
        <v>345</v>
      </c>
      <c r="C16" s="1222" t="s">
        <v>346</v>
      </c>
      <c r="D16" s="1222" t="s">
        <v>347</v>
      </c>
      <c r="E16" s="1223" t="s">
        <v>348</v>
      </c>
      <c r="F16" s="1222" t="s">
        <v>349</v>
      </c>
      <c r="G16" s="1224" t="s">
        <v>350</v>
      </c>
      <c r="H16" s="1216" t="s">
        <v>351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</row>
    <row r="17" spans="2:19">
      <c r="B17" s="258" t="s">
        <v>352</v>
      </c>
      <c r="C17" s="258"/>
      <c r="D17" s="258"/>
      <c r="E17" s="258"/>
      <c r="F17" s="356"/>
      <c r="G17" s="597"/>
      <c r="H17" s="357"/>
      <c r="L17" s="39"/>
      <c r="M17" s="165"/>
      <c r="N17" s="15"/>
      <c r="O17" s="10"/>
      <c r="P17" s="34"/>
      <c r="Q17" s="34"/>
      <c r="R17" s="34"/>
      <c r="S17" s="166"/>
    </row>
    <row r="18" spans="2:19">
      <c r="B18" s="358" t="s">
        <v>353</v>
      </c>
      <c r="C18" s="359"/>
      <c r="D18" s="258"/>
      <c r="E18" s="258"/>
      <c r="F18" s="356"/>
      <c r="G18" s="597"/>
      <c r="H18" s="357"/>
      <c r="L18" s="39"/>
      <c r="M18" s="165"/>
      <c r="N18" s="15"/>
      <c r="O18" s="10"/>
      <c r="P18" s="34"/>
      <c r="Q18" s="34"/>
      <c r="R18" s="34"/>
      <c r="S18" s="166"/>
    </row>
    <row r="19" spans="2:19">
      <c r="B19" s="281" t="s">
        <v>354</v>
      </c>
      <c r="C19" s="590">
        <v>3435</v>
      </c>
      <c r="D19" s="255">
        <v>0.25</v>
      </c>
      <c r="E19" s="258"/>
      <c r="F19" s="356">
        <v>1.2</v>
      </c>
      <c r="G19" s="407">
        <f>C19*D19*F19</f>
        <v>1030.5</v>
      </c>
      <c r="H19" s="591"/>
      <c r="L19" s="39"/>
      <c r="M19" s="165"/>
      <c r="N19" s="15"/>
      <c r="O19" s="10"/>
      <c r="P19" s="34"/>
      <c r="Q19" s="34"/>
      <c r="R19" s="34"/>
      <c r="S19" s="166"/>
    </row>
    <row r="20" spans="2:19">
      <c r="B20" s="281" t="s">
        <v>355</v>
      </c>
      <c r="C20" s="590">
        <f>C19</f>
        <v>3435</v>
      </c>
      <c r="D20" s="255">
        <v>0.25</v>
      </c>
      <c r="E20" s="258"/>
      <c r="F20" s="356">
        <v>1.2</v>
      </c>
      <c r="G20" s="407">
        <f>C20*D20*F20</f>
        <v>1030.5</v>
      </c>
      <c r="H20" s="591"/>
      <c r="L20" s="39"/>
      <c r="M20" s="165"/>
      <c r="N20" s="15"/>
      <c r="O20" s="10"/>
      <c r="P20" s="34"/>
      <c r="Q20" s="34"/>
      <c r="R20" s="34"/>
      <c r="S20" s="166"/>
    </row>
    <row r="21" spans="2:19">
      <c r="B21" s="281" t="s">
        <v>356</v>
      </c>
      <c r="C21" s="590">
        <f>C20</f>
        <v>3435</v>
      </c>
      <c r="D21" s="255">
        <v>0.25</v>
      </c>
      <c r="E21" s="258"/>
      <c r="F21" s="356">
        <v>1.2</v>
      </c>
      <c r="G21" s="407">
        <f>C21*D21*F21</f>
        <v>1030.5</v>
      </c>
      <c r="H21" s="591">
        <f>G21</f>
        <v>1030.5</v>
      </c>
      <c r="L21" s="39"/>
      <c r="M21" s="165"/>
      <c r="N21" s="15"/>
      <c r="O21" s="10"/>
      <c r="P21" s="34"/>
      <c r="Q21" s="34"/>
      <c r="R21" s="34"/>
      <c r="S21" s="166"/>
    </row>
    <row r="22" spans="2:19">
      <c r="B22" s="281" t="s">
        <v>357</v>
      </c>
      <c r="C22" s="590">
        <v>3660</v>
      </c>
      <c r="D22" s="255">
        <v>0.25</v>
      </c>
      <c r="E22" s="258"/>
      <c r="F22" s="356">
        <v>1.2</v>
      </c>
      <c r="G22" s="407">
        <f>C22*D22*F22</f>
        <v>1098</v>
      </c>
      <c r="H22" s="591">
        <f>G22</f>
        <v>1098</v>
      </c>
      <c r="L22" s="39"/>
      <c r="M22" s="165"/>
      <c r="N22" s="15"/>
      <c r="O22" s="10"/>
      <c r="P22" s="34"/>
      <c r="Q22" s="34"/>
      <c r="R22" s="34"/>
      <c r="S22" s="166"/>
    </row>
    <row r="23" spans="2:19">
      <c r="B23" s="254"/>
      <c r="C23" s="590"/>
      <c r="D23" s="836"/>
      <c r="E23" s="258"/>
      <c r="F23" s="356"/>
      <c r="G23" s="681"/>
      <c r="H23" s="591"/>
      <c r="L23" s="39"/>
      <c r="M23" s="165"/>
      <c r="N23" s="15"/>
      <c r="O23" s="10"/>
      <c r="P23" s="34"/>
      <c r="Q23" s="34"/>
      <c r="R23" s="34"/>
      <c r="S23" s="166"/>
    </row>
    <row r="24" spans="2:19">
      <c r="B24" s="254" t="s">
        <v>358</v>
      </c>
      <c r="C24" s="590"/>
      <c r="D24" s="836"/>
      <c r="E24" s="258"/>
      <c r="F24" s="356"/>
      <c r="G24" s="681"/>
      <c r="H24" s="591">
        <v>2151</v>
      </c>
      <c r="L24" s="39"/>
      <c r="M24" s="165"/>
      <c r="N24" s="15"/>
      <c r="O24" s="10"/>
      <c r="P24" s="34"/>
      <c r="Q24" s="34"/>
      <c r="R24" s="34"/>
      <c r="S24" s="166"/>
    </row>
    <row r="25" spans="2:19">
      <c r="B25" s="254" t="s">
        <v>359</v>
      </c>
      <c r="C25" s="590"/>
      <c r="D25" s="836"/>
      <c r="E25" s="258"/>
      <c r="F25" s="356"/>
      <c r="G25" s="681"/>
      <c r="H25" s="591">
        <v>112.5</v>
      </c>
      <c r="L25" s="39"/>
      <c r="M25" s="165"/>
      <c r="N25" s="15"/>
      <c r="O25" s="10"/>
      <c r="P25" s="34"/>
      <c r="Q25" s="34"/>
      <c r="R25" s="34"/>
      <c r="S25" s="166"/>
    </row>
    <row r="26" spans="2:19">
      <c r="B26" s="254"/>
      <c r="C26" s="590"/>
      <c r="D26" s="836"/>
      <c r="E26" s="258"/>
      <c r="F26" s="356"/>
      <c r="G26" s="681"/>
      <c r="H26" s="591"/>
      <c r="L26" s="39"/>
      <c r="M26" s="165"/>
      <c r="N26" s="15"/>
      <c r="O26" s="10"/>
      <c r="P26" s="34"/>
      <c r="Q26" s="34"/>
      <c r="R26" s="34"/>
      <c r="S26" s="166"/>
    </row>
    <row r="27" spans="2:19">
      <c r="B27" s="254"/>
      <c r="C27" s="605"/>
      <c r="D27" s="254"/>
      <c r="E27" s="258"/>
      <c r="F27" s="292"/>
      <c r="G27" s="99"/>
      <c r="H27" s="293"/>
      <c r="I27" s="254"/>
    </row>
    <row r="28" spans="2:19">
      <c r="B28" s="294"/>
      <c r="C28" s="317"/>
      <c r="D28" s="294"/>
      <c r="E28" s="258"/>
      <c r="F28" s="292"/>
      <c r="G28" s="99"/>
      <c r="H28" s="1220">
        <f>SUM(H19:H27)</f>
        <v>4392</v>
      </c>
      <c r="I28" s="281"/>
    </row>
    <row r="29" spans="2:19">
      <c r="B29" s="258" t="s">
        <v>360</v>
      </c>
      <c r="C29" s="359"/>
      <c r="D29" s="258"/>
      <c r="E29" s="258"/>
      <c r="F29" s="360"/>
      <c r="G29" s="598"/>
      <c r="H29" s="259"/>
    </row>
    <row r="30" spans="2:19">
      <c r="B30" s="358" t="s">
        <v>361</v>
      </c>
      <c r="C30" s="281"/>
      <c r="D30" s="281"/>
      <c r="E30" s="360"/>
      <c r="F30" s="257"/>
      <c r="G30" s="598"/>
      <c r="H30" s="259"/>
    </row>
    <row r="31" spans="2:19">
      <c r="B31" s="281" t="s">
        <v>362</v>
      </c>
      <c r="C31" s="361">
        <v>424</v>
      </c>
      <c r="D31" s="255">
        <v>0.25</v>
      </c>
      <c r="E31" s="360">
        <v>0.3</v>
      </c>
      <c r="F31" s="256" t="s">
        <v>14</v>
      </c>
      <c r="G31" s="598">
        <f>C31*D31</f>
        <v>106</v>
      </c>
      <c r="H31" s="600">
        <f>G31</f>
        <v>106</v>
      </c>
    </row>
    <row r="32" spans="2:19">
      <c r="B32" s="281" t="s">
        <v>363</v>
      </c>
      <c r="C32" s="361">
        <v>428</v>
      </c>
      <c r="D32" s="255">
        <v>0.25</v>
      </c>
      <c r="E32" s="360">
        <v>0.3</v>
      </c>
      <c r="F32" s="256" t="s">
        <v>14</v>
      </c>
      <c r="G32" s="598">
        <f>C32*D32</f>
        <v>107</v>
      </c>
      <c r="H32" s="600">
        <f>G32</f>
        <v>107</v>
      </c>
    </row>
    <row r="33" spans="2:9">
      <c r="B33" s="281" t="s">
        <v>364</v>
      </c>
      <c r="C33" s="361">
        <v>428</v>
      </c>
      <c r="D33" s="255">
        <v>0.25</v>
      </c>
      <c r="E33" s="360">
        <v>0.3</v>
      </c>
      <c r="F33" s="256" t="s">
        <v>14</v>
      </c>
      <c r="G33" s="598">
        <f>C33*D33</f>
        <v>107</v>
      </c>
      <c r="H33" s="600">
        <f>G33</f>
        <v>107</v>
      </c>
    </row>
    <row r="34" spans="2:9">
      <c r="B34" s="281" t="s">
        <v>365</v>
      </c>
      <c r="C34" s="361">
        <v>428</v>
      </c>
      <c r="D34" s="255">
        <v>0.25</v>
      </c>
      <c r="E34" s="360">
        <v>0.3</v>
      </c>
      <c r="F34" s="256" t="s">
        <v>14</v>
      </c>
      <c r="G34" s="598">
        <f>C34*D34</f>
        <v>107</v>
      </c>
      <c r="H34" s="600">
        <v>107</v>
      </c>
    </row>
    <row r="35" spans="2:9">
      <c r="B35" s="358" t="s">
        <v>366</v>
      </c>
      <c r="C35" s="281"/>
      <c r="D35" s="608"/>
      <c r="E35" s="281"/>
      <c r="F35" s="294"/>
      <c r="G35" s="598"/>
      <c r="H35" s="600"/>
    </row>
    <row r="36" spans="2:9">
      <c r="B36" s="281" t="s">
        <v>367</v>
      </c>
      <c r="C36" s="361">
        <v>5400</v>
      </c>
      <c r="D36" s="255">
        <v>0.25</v>
      </c>
      <c r="E36" s="360"/>
      <c r="F36" s="256" t="s">
        <v>14</v>
      </c>
      <c r="G36" s="598">
        <f t="shared" ref="G36" si="0">C36*D36</f>
        <v>1350</v>
      </c>
      <c r="H36" s="600">
        <f t="shared" ref="H36:H38" si="1">G36</f>
        <v>1350</v>
      </c>
      <c r="I36" s="227"/>
    </row>
    <row r="37" spans="2:9">
      <c r="B37" s="281" t="s">
        <v>368</v>
      </c>
      <c r="C37" s="361">
        <v>5440</v>
      </c>
      <c r="D37" s="255">
        <v>0.25</v>
      </c>
      <c r="E37" s="360"/>
      <c r="F37" s="256" t="s">
        <v>14</v>
      </c>
      <c r="G37" s="598">
        <f t="shared" ref="G37:G38" si="2">C37*D37</f>
        <v>1360</v>
      </c>
      <c r="H37" s="600">
        <f t="shared" si="1"/>
        <v>1360</v>
      </c>
      <c r="I37" s="227"/>
    </row>
    <row r="38" spans="2:9">
      <c r="B38" s="281" t="s">
        <v>369</v>
      </c>
      <c r="C38" s="361">
        <v>5440</v>
      </c>
      <c r="D38" s="255">
        <v>0.25</v>
      </c>
      <c r="E38" s="592"/>
      <c r="F38" s="256" t="s">
        <v>14</v>
      </c>
      <c r="G38" s="598">
        <f t="shared" si="2"/>
        <v>1360</v>
      </c>
      <c r="H38" s="600">
        <f t="shared" si="1"/>
        <v>1360</v>
      </c>
      <c r="I38" s="227"/>
    </row>
    <row r="39" spans="2:9">
      <c r="B39" s="281" t="s">
        <v>370</v>
      </c>
      <c r="C39" s="361">
        <v>5440</v>
      </c>
      <c r="D39" s="255">
        <v>0.25</v>
      </c>
      <c r="E39" s="592"/>
      <c r="F39" s="256" t="s">
        <v>14</v>
      </c>
      <c r="G39" s="598">
        <f t="shared" ref="G39" si="3">C39*D39</f>
        <v>1360</v>
      </c>
      <c r="H39" s="600">
        <v>1360</v>
      </c>
      <c r="I39" s="227"/>
    </row>
    <row r="40" spans="2:9">
      <c r="B40" s="358" t="s">
        <v>371</v>
      </c>
      <c r="C40" s="281"/>
      <c r="D40" s="608"/>
      <c r="E40" s="360"/>
      <c r="F40" s="606"/>
      <c r="G40" s="598"/>
      <c r="H40" s="600"/>
    </row>
    <row r="41" spans="2:9">
      <c r="B41" s="281" t="s">
        <v>372</v>
      </c>
      <c r="C41" s="361">
        <v>400</v>
      </c>
      <c r="D41" s="255">
        <v>0.25</v>
      </c>
      <c r="E41" s="360"/>
      <c r="F41" s="256" t="s">
        <v>14</v>
      </c>
      <c r="G41" s="598">
        <f t="shared" ref="G41" si="4">C41*D41</f>
        <v>100</v>
      </c>
      <c r="H41" s="600">
        <f t="shared" ref="H41:H43" si="5">G41</f>
        <v>100</v>
      </c>
    </row>
    <row r="42" spans="2:9">
      <c r="B42" s="281" t="s">
        <v>373</v>
      </c>
      <c r="C42" s="361">
        <v>440</v>
      </c>
      <c r="D42" s="255">
        <v>0.25</v>
      </c>
      <c r="E42" s="360"/>
      <c r="F42" s="256" t="s">
        <v>14</v>
      </c>
      <c r="G42" s="598">
        <f t="shared" ref="G42:G43" si="6">C42*D42</f>
        <v>110</v>
      </c>
      <c r="H42" s="600">
        <f t="shared" si="5"/>
        <v>110</v>
      </c>
    </row>
    <row r="43" spans="2:9">
      <c r="B43" s="281" t="s">
        <v>374</v>
      </c>
      <c r="C43" s="361">
        <v>440</v>
      </c>
      <c r="D43" s="255">
        <v>0.25</v>
      </c>
      <c r="E43" s="592"/>
      <c r="F43" s="256" t="s">
        <v>14</v>
      </c>
      <c r="G43" s="598">
        <f t="shared" si="6"/>
        <v>110</v>
      </c>
      <c r="H43" s="600">
        <f t="shared" si="5"/>
        <v>110</v>
      </c>
    </row>
    <row r="44" spans="2:9">
      <c r="B44" s="281" t="s">
        <v>375</v>
      </c>
      <c r="C44" s="361">
        <v>440</v>
      </c>
      <c r="D44" s="255">
        <v>0.25</v>
      </c>
      <c r="E44" s="592"/>
      <c r="F44" s="256" t="s">
        <v>14</v>
      </c>
      <c r="G44" s="598">
        <f t="shared" ref="G44:G49" si="7">C44*D44</f>
        <v>110</v>
      </c>
      <c r="H44" s="600">
        <v>110</v>
      </c>
    </row>
    <row r="45" spans="2:9">
      <c r="B45" s="358" t="s">
        <v>376</v>
      </c>
      <c r="C45" s="254"/>
      <c r="D45" s="608"/>
      <c r="E45" s="254"/>
      <c r="F45" s="292"/>
      <c r="G45" s="99"/>
      <c r="H45" s="298"/>
    </row>
    <row r="46" spans="2:9">
      <c r="B46" s="283" t="s">
        <v>377</v>
      </c>
      <c r="C46" s="361">
        <v>280</v>
      </c>
      <c r="D46" s="255">
        <v>0.25</v>
      </c>
      <c r="E46" s="254"/>
      <c r="F46" s="292"/>
      <c r="G46" s="598">
        <f t="shared" si="7"/>
        <v>70</v>
      </c>
      <c r="H46" s="298">
        <f>+G46</f>
        <v>70</v>
      </c>
    </row>
    <row r="47" spans="2:9">
      <c r="B47" s="283" t="s">
        <v>378</v>
      </c>
      <c r="C47" s="254">
        <v>280</v>
      </c>
      <c r="D47" s="255">
        <v>0.25</v>
      </c>
      <c r="E47" s="254"/>
      <c r="F47" s="292"/>
      <c r="G47" s="598">
        <f t="shared" si="7"/>
        <v>70</v>
      </c>
      <c r="H47" s="298">
        <f t="shared" ref="H47:H49" si="8">+G47</f>
        <v>70</v>
      </c>
    </row>
    <row r="48" spans="2:9">
      <c r="B48" s="283" t="s">
        <v>379</v>
      </c>
      <c r="C48" s="254">
        <v>280</v>
      </c>
      <c r="D48" s="255">
        <v>0.25</v>
      </c>
      <c r="E48" s="254"/>
      <c r="F48" s="292"/>
      <c r="G48" s="598">
        <f t="shared" si="7"/>
        <v>70</v>
      </c>
      <c r="H48" s="298">
        <f t="shared" si="8"/>
        <v>70</v>
      </c>
    </row>
    <row r="49" spans="2:10">
      <c r="B49" s="283" t="s">
        <v>380</v>
      </c>
      <c r="C49" s="254">
        <v>280</v>
      </c>
      <c r="D49" s="255">
        <v>0.25</v>
      </c>
      <c r="E49" s="254"/>
      <c r="F49" s="292"/>
      <c r="G49" s="598">
        <f t="shared" si="7"/>
        <v>70</v>
      </c>
      <c r="H49" s="298">
        <f t="shared" si="8"/>
        <v>70</v>
      </c>
    </row>
    <row r="50" spans="2:10">
      <c r="B50" s="605"/>
      <c r="C50" s="254"/>
      <c r="D50" s="836"/>
      <c r="E50" s="254"/>
      <c r="F50" s="292"/>
      <c r="G50" s="99"/>
      <c r="H50" s="298"/>
    </row>
    <row r="51" spans="2:10">
      <c r="B51" s="605"/>
      <c r="C51" s="254"/>
      <c r="D51" s="254"/>
      <c r="E51" s="254"/>
      <c r="F51" s="292"/>
      <c r="G51" s="99"/>
      <c r="H51" s="298"/>
    </row>
    <row r="52" spans="2:10">
      <c r="B52" s="317"/>
      <c r="C52" s="254"/>
      <c r="D52" s="254"/>
      <c r="E52" s="254"/>
      <c r="F52" s="292"/>
      <c r="G52" s="296"/>
      <c r="H52" s="1220">
        <f>SUM(H31:H51)</f>
        <v>6567</v>
      </c>
    </row>
    <row r="53" spans="2:10">
      <c r="B53" s="258" t="s">
        <v>381</v>
      </c>
      <c r="C53" s="258"/>
      <c r="D53" s="258"/>
      <c r="E53" s="258"/>
      <c r="F53" s="295"/>
      <c r="G53" s="99"/>
      <c r="H53" s="259"/>
    </row>
    <row r="54" spans="2:10">
      <c r="B54" s="362" t="s">
        <v>382</v>
      </c>
      <c r="C54" s="258"/>
      <c r="D54" s="258"/>
      <c r="E54" s="258"/>
      <c r="F54" s="295"/>
      <c r="G54" s="99"/>
      <c r="H54" s="259"/>
      <c r="J54" s="39" t="s">
        <v>89</v>
      </c>
    </row>
    <row r="55" spans="2:10">
      <c r="B55" s="281"/>
      <c r="C55" s="363">
        <v>10000</v>
      </c>
      <c r="D55" s="255">
        <v>0.25</v>
      </c>
      <c r="E55" s="258"/>
      <c r="F55" s="364">
        <v>1.2</v>
      </c>
      <c r="G55" s="99">
        <f>C55*D55*F55</f>
        <v>3000</v>
      </c>
      <c r="H55" s="259"/>
      <c r="J55" s="23">
        <f>Inventaire!C7</f>
        <v>11465750.199999999</v>
      </c>
    </row>
    <row r="56" spans="2:10">
      <c r="B56" s="254" t="s">
        <v>383</v>
      </c>
      <c r="C56" s="647">
        <v>500</v>
      </c>
      <c r="D56" s="255"/>
      <c r="E56" s="258"/>
      <c r="F56" s="364">
        <v>1.2</v>
      </c>
      <c r="G56" s="99">
        <f>C56*D56*F56</f>
        <v>0</v>
      </c>
      <c r="H56" s="259"/>
      <c r="J56" s="23"/>
    </row>
    <row r="57" spans="2:10">
      <c r="B57" s="281"/>
      <c r="C57" s="258"/>
      <c r="D57" s="258"/>
      <c r="E57" s="258"/>
      <c r="F57" s="295"/>
      <c r="G57" s="99"/>
      <c r="H57" s="259"/>
      <c r="J57" s="43"/>
    </row>
    <row r="58" spans="2:10">
      <c r="B58" s="254" t="s">
        <v>384</v>
      </c>
      <c r="C58" s="317"/>
      <c r="D58" s="254"/>
      <c r="E58" s="258"/>
      <c r="F58" s="292"/>
      <c r="G58" s="99">
        <f>+G55</f>
        <v>3000</v>
      </c>
      <c r="H58" s="293">
        <v>3000</v>
      </c>
    </row>
    <row r="59" spans="2:10">
      <c r="B59" s="254" t="s">
        <v>385</v>
      </c>
      <c r="C59" s="317"/>
      <c r="D59" s="254"/>
      <c r="E59" s="258"/>
      <c r="F59" s="292"/>
      <c r="G59" s="99">
        <f>+G55</f>
        <v>3000</v>
      </c>
      <c r="H59" s="293">
        <v>3000</v>
      </c>
    </row>
    <row r="60" spans="2:10">
      <c r="B60" s="254" t="s">
        <v>386</v>
      </c>
      <c r="C60" s="616"/>
      <c r="D60" s="254"/>
      <c r="E60" s="258"/>
      <c r="F60" s="292"/>
      <c r="G60" s="99">
        <f>+G55</f>
        <v>3000</v>
      </c>
      <c r="H60" s="293">
        <v>3000</v>
      </c>
    </row>
    <row r="61" spans="2:10">
      <c r="B61" s="254" t="s">
        <v>387</v>
      </c>
      <c r="C61" s="616"/>
      <c r="D61" s="254"/>
      <c r="E61" s="258"/>
      <c r="F61" s="292"/>
      <c r="G61" s="99">
        <f>+G55</f>
        <v>3000</v>
      </c>
      <c r="H61" s="293">
        <v>3000</v>
      </c>
    </row>
    <row r="62" spans="2:10">
      <c r="B62" s="254"/>
      <c r="C62" s="616"/>
      <c r="D62" s="254"/>
      <c r="E62" s="258"/>
      <c r="F62" s="292"/>
      <c r="G62" s="99"/>
      <c r="H62" s="293"/>
    </row>
    <row r="63" spans="2:10">
      <c r="B63" s="254" t="s">
        <v>388</v>
      </c>
      <c r="C63" s="636">
        <v>600</v>
      </c>
      <c r="D63" s="255">
        <v>0.25</v>
      </c>
      <c r="E63" s="258"/>
      <c r="F63" s="364">
        <v>1.2</v>
      </c>
      <c r="G63" s="99">
        <f>C63*D63*F63</f>
        <v>180</v>
      </c>
      <c r="H63" s="293">
        <f>+G63</f>
        <v>180</v>
      </c>
    </row>
    <row r="64" spans="2:10">
      <c r="B64" s="254" t="s">
        <v>389</v>
      </c>
      <c r="C64" s="636">
        <v>600</v>
      </c>
      <c r="D64" s="255">
        <v>0.25</v>
      </c>
      <c r="E64" s="258"/>
      <c r="F64" s="364">
        <v>1.2</v>
      </c>
      <c r="G64" s="99">
        <f>C64*D64*F64</f>
        <v>180</v>
      </c>
      <c r="H64" s="293">
        <f>+G64</f>
        <v>180</v>
      </c>
    </row>
    <row r="65" spans="2:19">
      <c r="B65" s="254" t="s">
        <v>390</v>
      </c>
      <c r="C65" s="636">
        <v>600</v>
      </c>
      <c r="D65" s="255">
        <v>0.25</v>
      </c>
      <c r="E65" s="258"/>
      <c r="F65" s="364">
        <v>1.2</v>
      </c>
      <c r="G65" s="99">
        <f t="shared" ref="G65:G66" si="9">C65*D65*F65</f>
        <v>180</v>
      </c>
      <c r="H65" s="293">
        <f>+G65</f>
        <v>180</v>
      </c>
    </row>
    <row r="66" spans="2:19">
      <c r="B66" s="254" t="s">
        <v>391</v>
      </c>
      <c r="C66" s="636">
        <v>600</v>
      </c>
      <c r="D66" s="255">
        <v>0.25</v>
      </c>
      <c r="E66" s="258"/>
      <c r="F66" s="364">
        <v>1.2</v>
      </c>
      <c r="G66" s="99">
        <f t="shared" si="9"/>
        <v>180</v>
      </c>
      <c r="H66" s="293">
        <v>180</v>
      </c>
    </row>
    <row r="67" spans="2:19">
      <c r="B67" s="254"/>
      <c r="C67" s="636"/>
      <c r="D67" s="649"/>
      <c r="E67" s="258"/>
      <c r="F67" s="364"/>
      <c r="G67" s="99"/>
      <c r="H67" s="293"/>
    </row>
    <row r="68" spans="2:19">
      <c r="B68" s="254" t="s">
        <v>392</v>
      </c>
      <c r="C68" s="616"/>
      <c r="D68" s="254"/>
      <c r="E68" s="258"/>
      <c r="F68" s="292"/>
      <c r="G68" s="99"/>
      <c r="H68" s="293">
        <v>-6000</v>
      </c>
    </row>
    <row r="69" spans="2:19">
      <c r="B69" s="254" t="s">
        <v>393</v>
      </c>
      <c r="C69" s="317"/>
      <c r="D69" s="254"/>
      <c r="E69" s="258"/>
      <c r="F69" s="292"/>
      <c r="G69" s="99"/>
      <c r="H69" s="293">
        <v>6360</v>
      </c>
    </row>
    <row r="70" spans="2:19">
      <c r="B70" s="254" t="s">
        <v>394</v>
      </c>
      <c r="C70" s="616"/>
      <c r="D70" s="254"/>
      <c r="E70" s="258"/>
      <c r="F70" s="292"/>
      <c r="G70" s="99"/>
      <c r="H70" s="293">
        <v>-6000</v>
      </c>
    </row>
    <row r="71" spans="2:19">
      <c r="B71" s="254" t="s">
        <v>395</v>
      </c>
      <c r="C71" s="317"/>
      <c r="D71" s="254"/>
      <c r="E71" s="258"/>
      <c r="F71" s="292"/>
      <c r="G71" s="99"/>
      <c r="H71" s="293">
        <v>6360</v>
      </c>
    </row>
    <row r="72" spans="2:19">
      <c r="B72" s="254"/>
      <c r="C72" s="616"/>
      <c r="D72" s="254"/>
      <c r="E72" s="258"/>
      <c r="F72" s="292"/>
      <c r="G72" s="99"/>
      <c r="H72" s="293"/>
    </row>
    <row r="73" spans="2:19">
      <c r="B73" s="254"/>
      <c r="C73" s="317"/>
      <c r="D73" s="254"/>
      <c r="E73" s="258"/>
      <c r="F73" s="292"/>
      <c r="G73" s="99"/>
      <c r="H73" s="293"/>
    </row>
    <row r="74" spans="2:19">
      <c r="B74" s="254"/>
      <c r="C74" s="317"/>
      <c r="D74" s="254"/>
      <c r="E74" s="258"/>
      <c r="F74" s="292"/>
      <c r="G74" s="99"/>
      <c r="H74" s="293"/>
    </row>
    <row r="75" spans="2:19">
      <c r="B75" s="254"/>
      <c r="C75" s="317"/>
      <c r="D75" s="254"/>
      <c r="E75" s="258"/>
      <c r="F75" s="292"/>
      <c r="G75" s="99"/>
      <c r="H75" s="293"/>
    </row>
    <row r="76" spans="2:19">
      <c r="B76" s="254"/>
      <c r="C76" s="317"/>
      <c r="D76" s="254"/>
      <c r="E76" s="258"/>
      <c r="F76" s="292"/>
      <c r="G76" s="99"/>
      <c r="H76" s="293"/>
    </row>
    <row r="77" spans="2:19">
      <c r="B77" s="254"/>
      <c r="C77" s="317"/>
      <c r="D77" s="254"/>
      <c r="E77" s="258"/>
      <c r="F77" s="292"/>
      <c r="G77" s="99"/>
      <c r="H77" s="293"/>
    </row>
    <row r="78" spans="2:19">
      <c r="B78" s="281"/>
      <c r="C78" s="317"/>
      <c r="D78" s="281"/>
      <c r="E78" s="282"/>
      <c r="F78" s="292"/>
      <c r="G78" s="99"/>
      <c r="H78" s="981"/>
    </row>
    <row r="79" spans="2:19" ht="12.75" customHeight="1">
      <c r="B79" s="324"/>
      <c r="C79" s="627"/>
      <c r="D79" s="324"/>
      <c r="E79" s="324"/>
      <c r="F79" s="316"/>
      <c r="G79" s="146"/>
      <c r="H79" s="1220">
        <f>SUM(H58:H78)</f>
        <v>13440</v>
      </c>
      <c r="S79" s="39"/>
    </row>
    <row r="80" spans="2:19" ht="12.6" customHeight="1">
      <c r="B80" s="258" t="s">
        <v>396</v>
      </c>
      <c r="C80" s="317"/>
      <c r="D80" s="324"/>
      <c r="E80" s="324"/>
      <c r="F80" s="316"/>
      <c r="G80" s="146"/>
      <c r="H80" s="1225"/>
      <c r="J80" t="s">
        <v>397</v>
      </c>
      <c r="S80" s="39"/>
    </row>
    <row r="81" spans="2:19" ht="12.75" customHeight="1">
      <c r="B81" s="358" t="s">
        <v>398</v>
      </c>
      <c r="C81" s="627"/>
      <c r="D81" s="324"/>
      <c r="E81" s="324"/>
      <c r="F81" s="316"/>
      <c r="G81" s="146"/>
      <c r="H81" s="352"/>
      <c r="J81" s="23">
        <v>1188.73</v>
      </c>
      <c r="S81" s="39"/>
    </row>
    <row r="82" spans="2:19" ht="12.75" customHeight="1">
      <c r="B82" s="281" t="s">
        <v>354</v>
      </c>
      <c r="C82" s="590">
        <f>1188.73/1.2</f>
        <v>990.60833333333335</v>
      </c>
      <c r="D82" s="255">
        <v>0.25</v>
      </c>
      <c r="E82" s="324"/>
      <c r="F82" s="837">
        <v>1.2</v>
      </c>
      <c r="G82" s="99">
        <f t="shared" ref="G82:G85" si="10">C82*D82*F82</f>
        <v>297.1825</v>
      </c>
      <c r="H82" s="352"/>
      <c r="S82" s="39"/>
    </row>
    <row r="83" spans="2:19" ht="12.75" customHeight="1">
      <c r="B83" s="281" t="s">
        <v>355</v>
      </c>
      <c r="C83" s="590">
        <f>C82</f>
        <v>990.60833333333335</v>
      </c>
      <c r="D83" s="255">
        <v>0.25</v>
      </c>
      <c r="E83" s="324"/>
      <c r="F83" s="837">
        <v>1.2</v>
      </c>
      <c r="G83" s="99">
        <f t="shared" si="10"/>
        <v>297.1825</v>
      </c>
      <c r="H83" s="352"/>
      <c r="S83" s="39"/>
    </row>
    <row r="84" spans="2:19" ht="12.75" customHeight="1">
      <c r="B84" s="281" t="s">
        <v>356</v>
      </c>
      <c r="C84" s="590">
        <f>C83</f>
        <v>990.60833333333335</v>
      </c>
      <c r="D84" s="255">
        <v>0.25</v>
      </c>
      <c r="E84" s="324"/>
      <c r="F84" s="837">
        <v>1.2</v>
      </c>
      <c r="G84" s="99">
        <f t="shared" si="10"/>
        <v>297.1825</v>
      </c>
      <c r="H84" s="352"/>
      <c r="S84" s="39"/>
    </row>
    <row r="85" spans="2:19" ht="12.75" customHeight="1">
      <c r="B85" s="281" t="s">
        <v>357</v>
      </c>
      <c r="C85" s="590">
        <v>475.87</v>
      </c>
      <c r="D85" s="255">
        <v>0.25</v>
      </c>
      <c r="E85" s="324"/>
      <c r="F85" s="837">
        <v>1.2</v>
      </c>
      <c r="G85" s="99">
        <f t="shared" si="10"/>
        <v>142.761</v>
      </c>
      <c r="H85" s="352"/>
      <c r="S85" s="39"/>
    </row>
    <row r="86" spans="2:19" ht="12.75" customHeight="1">
      <c r="B86" s="281"/>
      <c r="C86" s="627"/>
      <c r="D86" s="324"/>
      <c r="E86" s="324"/>
      <c r="F86" s="316"/>
      <c r="G86" s="146"/>
      <c r="H86" s="352"/>
      <c r="S86" s="39"/>
    </row>
    <row r="87" spans="2:19" ht="12.75" customHeight="1">
      <c r="B87" s="254" t="s">
        <v>399</v>
      </c>
      <c r="C87" s="627"/>
      <c r="D87" s="324"/>
      <c r="E87" s="324"/>
      <c r="F87" s="316"/>
      <c r="G87" s="146"/>
      <c r="H87" s="352">
        <v>571.04</v>
      </c>
      <c r="S87" s="39"/>
    </row>
    <row r="88" spans="2:19" ht="12.75" customHeight="1">
      <c r="B88" s="254" t="s">
        <v>400</v>
      </c>
      <c r="C88" s="627"/>
      <c r="D88" s="324"/>
      <c r="E88" s="324"/>
      <c r="F88" s="316"/>
      <c r="G88" s="146"/>
      <c r="H88" s="352">
        <v>-400.32</v>
      </c>
      <c r="S88" s="39"/>
    </row>
    <row r="89" spans="2:19" ht="12.75" customHeight="1">
      <c r="B89" s="254"/>
      <c r="C89" s="627"/>
      <c r="D89" s="324"/>
      <c r="E89" s="324"/>
      <c r="F89" s="316"/>
      <c r="G89" s="146"/>
      <c r="H89" s="352"/>
      <c r="S89" s="39"/>
    </row>
    <row r="90" spans="2:19" ht="12.75" customHeight="1">
      <c r="B90" s="281"/>
      <c r="C90" s="627"/>
      <c r="D90" s="324"/>
      <c r="E90" s="324"/>
      <c r="F90" s="316"/>
      <c r="G90" s="146"/>
      <c r="H90" s="1220">
        <f>SUM(H81:H88)</f>
        <v>170.71999999999997</v>
      </c>
      <c r="S90" s="39"/>
    </row>
    <row r="91" spans="2:19" ht="12.75" customHeight="1">
      <c r="B91" s="258"/>
      <c r="C91" s="324"/>
      <c r="D91" s="324"/>
      <c r="E91" s="324"/>
      <c r="F91" s="316"/>
      <c r="G91" s="146"/>
      <c r="H91" s="628"/>
      <c r="S91" s="39"/>
    </row>
    <row r="92" spans="2:19" ht="12.75" customHeight="1">
      <c r="B92" s="324"/>
      <c r="C92" s="324"/>
      <c r="D92" s="324"/>
      <c r="E92" s="324"/>
      <c r="F92" s="316"/>
      <c r="G92" s="146"/>
      <c r="H92" s="352"/>
      <c r="S92" s="39"/>
    </row>
    <row r="93" spans="2:19" ht="12.75" customHeight="1">
      <c r="B93" s="324"/>
      <c r="C93" s="324"/>
      <c r="D93" s="324"/>
      <c r="E93" s="324"/>
      <c r="F93" s="316"/>
      <c r="G93" s="146"/>
      <c r="H93" s="352"/>
      <c r="S93" s="39"/>
    </row>
    <row r="94" spans="2:19" s="17" customFormat="1" ht="14.25">
      <c r="B94" s="324"/>
      <c r="C94" s="324"/>
      <c r="D94" s="324"/>
      <c r="E94" s="324"/>
      <c r="F94" s="982"/>
      <c r="G94" s="146"/>
      <c r="H94" s="352"/>
      <c r="I94"/>
    </row>
    <row r="95" spans="2:19" ht="15">
      <c r="B95" s="1226" t="s">
        <v>401</v>
      </c>
      <c r="C95" s="1227"/>
      <c r="D95" s="1227"/>
      <c r="E95" s="1227"/>
      <c r="F95" s="1228"/>
      <c r="G95" s="1229"/>
      <c r="H95" s="1230">
        <f>+H90+H79+H28+H52</f>
        <v>24569.72</v>
      </c>
    </row>
    <row r="96" spans="2:19">
      <c r="B96" s="1"/>
      <c r="C96" s="1"/>
      <c r="D96" s="1"/>
      <c r="E96" s="1"/>
      <c r="F96" s="10"/>
      <c r="G96" s="599"/>
      <c r="H96" s="38"/>
    </row>
    <row r="97" spans="2:8">
      <c r="B97" s="1"/>
      <c r="C97" s="1"/>
      <c r="D97" s="1"/>
      <c r="E97" s="1"/>
      <c r="F97" s="39" t="s">
        <v>402</v>
      </c>
      <c r="H97" s="23">
        <f>'Rappro Balance'!E11</f>
        <v>1653766.6800000002</v>
      </c>
    </row>
    <row r="98" spans="2:8">
      <c r="C98" s="43"/>
      <c r="F98" s="39" t="s">
        <v>403</v>
      </c>
      <c r="H98" s="168"/>
    </row>
    <row r="99" spans="2:8">
      <c r="F99" s="39" t="s">
        <v>404</v>
      </c>
      <c r="H99" s="168">
        <v>0</v>
      </c>
    </row>
    <row r="100" spans="2:8">
      <c r="F100" s="39" t="s">
        <v>405</v>
      </c>
      <c r="H100" s="168">
        <v>0</v>
      </c>
    </row>
    <row r="101" spans="2:8">
      <c r="F101" s="39" t="s">
        <v>406</v>
      </c>
      <c r="H101" s="168">
        <v>0</v>
      </c>
    </row>
    <row r="102" spans="2:8">
      <c r="F102" s="39" t="s">
        <v>407</v>
      </c>
      <c r="H102" s="168">
        <v>0</v>
      </c>
    </row>
    <row r="103" spans="2:8">
      <c r="F103" s="39" t="s">
        <v>408</v>
      </c>
      <c r="H103" s="168"/>
    </row>
    <row r="104" spans="2:8">
      <c r="F104" s="39" t="s">
        <v>409</v>
      </c>
      <c r="H104" s="168"/>
    </row>
    <row r="105" spans="2:8">
      <c r="F105" s="39" t="s">
        <v>410</v>
      </c>
      <c r="H105" s="168"/>
    </row>
    <row r="106" spans="2:8">
      <c r="F106" s="39" t="s">
        <v>411</v>
      </c>
      <c r="H106" s="168">
        <v>305.58</v>
      </c>
    </row>
    <row r="107" spans="2:8">
      <c r="F107" s="39" t="s">
        <v>412</v>
      </c>
      <c r="H107" s="168">
        <v>818.62</v>
      </c>
    </row>
    <row r="108" spans="2:8">
      <c r="F108" s="39" t="s">
        <v>413</v>
      </c>
      <c r="G108" s="619"/>
      <c r="H108" s="168">
        <v>-1679460.6</v>
      </c>
    </row>
    <row r="109" spans="2:8">
      <c r="F109" t="s">
        <v>414</v>
      </c>
      <c r="G109" s="619"/>
      <c r="H109" s="168"/>
    </row>
    <row r="110" spans="2:8">
      <c r="F110" s="141"/>
      <c r="H110" s="167"/>
    </row>
    <row r="111" spans="2:8">
      <c r="F111" s="39" t="s">
        <v>72</v>
      </c>
      <c r="H111" s="23">
        <f>SUM(H95:H109)</f>
        <v>0</v>
      </c>
    </row>
    <row r="112" spans="2:8">
      <c r="H112" s="44" t="str">
        <f>IF(ABS(H111)&gt;0.01,"ANOMALIE","OK")</f>
        <v>OK</v>
      </c>
    </row>
    <row r="115" spans="6:6">
      <c r="F115" s="7"/>
    </row>
    <row r="116" spans="6:6">
      <c r="F116" s="7"/>
    </row>
    <row r="117" spans="6:6">
      <c r="F117" s="7"/>
    </row>
    <row r="118" spans="6:6">
      <c r="F118" s="7"/>
    </row>
    <row r="119" spans="6:6">
      <c r="F119" s="7"/>
    </row>
  </sheetData>
  <phoneticPr fontId="15" type="noConversion"/>
  <pageMargins left="0.78740157499999996" right="0.78740157499999996" top="0.984251969" bottom="0.984251969" header="0.4921259845" footer="0.4921259845"/>
  <pageSetup paperSize="9" scale="48" orientation="portrait" r:id="rId1"/>
  <headerFooter alignWithMargins="0"/>
  <rowBreaks count="1" manualBreakCount="1">
    <brk id="52" max="5" man="1"/>
  </rowBreaks>
  <colBreaks count="1" manualBreakCount="1">
    <brk id="1" max="5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5">
    <pageSetUpPr fitToPage="1"/>
  </sheetPr>
  <dimension ref="B1:K166"/>
  <sheetViews>
    <sheetView view="pageBreakPreview" topLeftCell="A35" zoomScaleNormal="100" zoomScaleSheetLayoutView="100" workbookViewId="0">
      <selection activeCell="G60" sqref="G60"/>
    </sheetView>
  </sheetViews>
  <sheetFormatPr defaultColWidth="11.42578125" defaultRowHeight="12.75"/>
  <cols>
    <col min="1" max="1" width="1.5703125" customWidth="1"/>
    <col min="2" max="2" width="40.42578125" customWidth="1"/>
    <col min="3" max="3" width="15.85546875" customWidth="1"/>
    <col min="4" max="4" width="4.42578125" customWidth="1"/>
    <col min="5" max="5" width="11.140625" customWidth="1"/>
    <col min="6" max="6" width="13.140625" customWidth="1"/>
    <col min="7" max="7" width="16.85546875" customWidth="1"/>
    <col min="8" max="8" width="1.85546875" customWidth="1"/>
    <col min="9" max="9" width="12" bestFit="1" customWidth="1"/>
    <col min="10" max="10" width="12.140625" bestFit="1" customWidth="1"/>
  </cols>
  <sheetData>
    <row r="1" spans="2:10" ht="28.5" customHeight="1">
      <c r="B1" s="26" t="str">
        <f>+Inventaire!B1</f>
        <v>SANCY - SLP</v>
      </c>
      <c r="D1" s="27" t="s">
        <v>415</v>
      </c>
      <c r="G1" s="24">
        <f>Sommaire!C1</f>
        <v>46022</v>
      </c>
    </row>
    <row r="2" spans="2:10" s="13" customFormat="1" ht="17.25" customHeight="1">
      <c r="D2" s="14"/>
    </row>
    <row r="3" spans="2:10" s="13" customFormat="1" ht="15">
      <c r="B3" s="1231"/>
      <c r="C3" s="1232"/>
      <c r="D3" s="14"/>
      <c r="E3" s="27"/>
      <c r="G3" s="24"/>
    </row>
    <row r="4" spans="2:10">
      <c r="B4" s="282" t="s">
        <v>86</v>
      </c>
      <c r="D4" s="189"/>
      <c r="E4" s="189"/>
      <c r="F4" s="189"/>
      <c r="G4" s="1233">
        <f>G1</f>
        <v>46022</v>
      </c>
    </row>
    <row r="5" spans="2:10" s="12" customFormat="1">
      <c r="B5" s="1234"/>
      <c r="C5" s="1235"/>
      <c r="D5" s="1235"/>
      <c r="E5" s="1235"/>
      <c r="F5" s="1235"/>
      <c r="G5" s="1002"/>
    </row>
    <row r="6" spans="2:10" s="12" customFormat="1">
      <c r="B6" s="365" t="s">
        <v>416</v>
      </c>
      <c r="C6"/>
      <c r="F6" s="261"/>
      <c r="G6" s="790"/>
    </row>
    <row r="7" spans="2:10" s="12" customFormat="1">
      <c r="B7" s="365"/>
      <c r="C7"/>
      <c r="F7" s="261"/>
      <c r="G7" s="630"/>
    </row>
    <row r="8" spans="2:10" s="12" customFormat="1">
      <c r="B8" s="365"/>
      <c r="C8"/>
      <c r="F8" s="261"/>
      <c r="G8" s="630"/>
    </row>
    <row r="9" spans="2:10" s="12" customFormat="1">
      <c r="B9" s="365" t="s">
        <v>417</v>
      </c>
      <c r="C9"/>
      <c r="F9" s="261"/>
      <c r="G9" s="790"/>
    </row>
    <row r="10" spans="2:10">
      <c r="B10" s="281"/>
      <c r="C10" t="s">
        <v>418</v>
      </c>
      <c r="E10" s="15"/>
      <c r="F10" s="190"/>
      <c r="G10" s="630">
        <v>0</v>
      </c>
      <c r="J10" s="39" t="s">
        <v>419</v>
      </c>
    </row>
    <row r="11" spans="2:10">
      <c r="B11" s="281"/>
      <c r="C11" t="s">
        <v>420</v>
      </c>
      <c r="E11" s="15"/>
      <c r="F11" s="190"/>
      <c r="G11" s="630">
        <v>0</v>
      </c>
      <c r="J11" s="39" t="s">
        <v>421</v>
      </c>
    </row>
    <row r="12" spans="2:10">
      <c r="B12" s="281"/>
      <c r="C12" s="1236"/>
      <c r="D12" s="1236"/>
      <c r="E12" s="1237"/>
      <c r="F12" s="1238"/>
      <c r="G12" s="630"/>
    </row>
    <row r="13" spans="2:10">
      <c r="B13" s="1239" t="s">
        <v>216</v>
      </c>
      <c r="C13" s="1240"/>
      <c r="D13" s="1240"/>
      <c r="E13" s="1240"/>
      <c r="F13" s="1240"/>
      <c r="G13" s="1241">
        <f>SUM(G6:G12)</f>
        <v>0</v>
      </c>
    </row>
    <row r="15" spans="2:10">
      <c r="C15" t="s">
        <v>422</v>
      </c>
    </row>
    <row r="16" spans="2:10" ht="14.25" customHeight="1">
      <c r="B16" s="1242" t="s">
        <v>87</v>
      </c>
      <c r="C16" s="189"/>
      <c r="D16" s="189"/>
      <c r="E16" s="189"/>
      <c r="F16" s="189"/>
      <c r="G16" s="1233">
        <f>G1</f>
        <v>46022</v>
      </c>
    </row>
    <row r="17" spans="2:7">
      <c r="B17" s="1234"/>
      <c r="C17" s="1235"/>
      <c r="D17" s="1235"/>
      <c r="E17" s="1235"/>
      <c r="F17" s="1235"/>
      <c r="G17" s="1002"/>
    </row>
    <row r="18" spans="2:7">
      <c r="B18" s="365" t="s">
        <v>423</v>
      </c>
      <c r="C18" s="98"/>
      <c r="D18" s="12"/>
      <c r="E18" s="12"/>
      <c r="F18" s="12"/>
      <c r="G18" s="631"/>
    </row>
    <row r="19" spans="2:7">
      <c r="B19" s="351"/>
      <c r="F19" s="12"/>
      <c r="G19" s="632"/>
    </row>
    <row r="20" spans="2:7">
      <c r="B20" s="351"/>
      <c r="F20" s="12"/>
      <c r="G20" s="632"/>
    </row>
    <row r="21" spans="2:7">
      <c r="B21" s="351"/>
      <c r="F21" s="12"/>
      <c r="G21" s="632"/>
    </row>
    <row r="22" spans="2:7">
      <c r="B22" s="366"/>
      <c r="F22" s="6" t="s">
        <v>424</v>
      </c>
      <c r="G22" s="1241">
        <f>SUM(G19:G20)</f>
        <v>0</v>
      </c>
    </row>
    <row r="23" spans="2:7">
      <c r="B23" s="282" t="s">
        <v>425</v>
      </c>
      <c r="C23" s="39"/>
      <c r="F23" s="1"/>
      <c r="G23" s="633"/>
    </row>
    <row r="24" spans="2:7">
      <c r="B24" s="281" t="s">
        <v>426</v>
      </c>
      <c r="C24" s="39"/>
      <c r="F24" s="1"/>
      <c r="G24" s="634">
        <v>112.5</v>
      </c>
    </row>
    <row r="25" spans="2:7">
      <c r="B25" s="281" t="s">
        <v>356</v>
      </c>
      <c r="C25" s="39"/>
      <c r="G25" s="634">
        <v>1030.5</v>
      </c>
    </row>
    <row r="26" spans="2:7">
      <c r="B26" s="281" t="s">
        <v>357</v>
      </c>
      <c r="C26" s="39"/>
      <c r="G26" s="634">
        <v>1098</v>
      </c>
    </row>
    <row r="27" spans="2:7">
      <c r="B27" s="281"/>
      <c r="C27" s="39"/>
      <c r="G27" s="634"/>
    </row>
    <row r="28" spans="2:7">
      <c r="B28" s="281"/>
      <c r="F28" s="6" t="s">
        <v>424</v>
      </c>
      <c r="G28" s="1241">
        <f>SUM(G24:G27)</f>
        <v>2241</v>
      </c>
    </row>
    <row r="29" spans="2:7">
      <c r="B29" s="367" t="s">
        <v>427</v>
      </c>
      <c r="F29" s="6"/>
      <c r="G29" s="633"/>
    </row>
    <row r="30" spans="2:7">
      <c r="B30" s="281"/>
      <c r="F30" s="6"/>
      <c r="G30" s="634"/>
    </row>
    <row r="31" spans="2:7">
      <c r="B31" s="281"/>
      <c r="F31" s="6"/>
      <c r="G31" s="634"/>
    </row>
    <row r="32" spans="2:7">
      <c r="B32" s="281"/>
      <c r="F32" s="6"/>
      <c r="G32" s="634"/>
    </row>
    <row r="33" spans="2:11">
      <c r="B33" s="281"/>
      <c r="F33" s="6"/>
      <c r="G33" s="635"/>
    </row>
    <row r="34" spans="2:11">
      <c r="B34" s="281"/>
      <c r="F34" s="6" t="s">
        <v>424</v>
      </c>
      <c r="G34" s="1241">
        <f>SUM(G30:G33)</f>
        <v>0</v>
      </c>
    </row>
    <row r="35" spans="2:11">
      <c r="B35" s="367" t="s">
        <v>428</v>
      </c>
      <c r="C35" s="39"/>
      <c r="F35" s="138"/>
      <c r="G35" s="636"/>
    </row>
    <row r="36" spans="2:11">
      <c r="B36" s="281" t="s">
        <v>365</v>
      </c>
      <c r="C36" s="39"/>
      <c r="F36" s="6"/>
      <c r="G36" s="600">
        <v>107</v>
      </c>
    </row>
    <row r="37" spans="2:11">
      <c r="B37" s="281" t="s">
        <v>370</v>
      </c>
      <c r="C37" s="39"/>
      <c r="F37" s="6"/>
      <c r="G37" s="634">
        <v>1360</v>
      </c>
    </row>
    <row r="38" spans="2:11">
      <c r="B38" s="281" t="s">
        <v>375</v>
      </c>
      <c r="C38" s="39"/>
      <c r="F38" s="6"/>
      <c r="G38" s="634">
        <v>110</v>
      </c>
    </row>
    <row r="39" spans="2:11">
      <c r="B39" s="281" t="s">
        <v>380</v>
      </c>
      <c r="C39" s="39"/>
      <c r="F39" s="6"/>
      <c r="G39" s="634">
        <v>70</v>
      </c>
    </row>
    <row r="40" spans="2:11">
      <c r="B40" s="281"/>
      <c r="C40" s="39"/>
      <c r="F40" s="6"/>
      <c r="G40" s="630"/>
      <c r="I40" s="39"/>
      <c r="K40" s="39"/>
    </row>
    <row r="41" spans="2:11" ht="12" customHeight="1">
      <c r="B41" s="297"/>
      <c r="C41" s="39"/>
      <c r="D41" s="7"/>
      <c r="F41" s="6" t="str">
        <f>F28</f>
        <v xml:space="preserve">Solde </v>
      </c>
      <c r="G41" s="1241">
        <f>SUM(G36:G40)</f>
        <v>1647</v>
      </c>
      <c r="I41" s="23"/>
      <c r="J41" s="23"/>
      <c r="K41" s="43"/>
    </row>
    <row r="42" spans="2:11">
      <c r="B42" s="282" t="s">
        <v>429</v>
      </c>
      <c r="C42" s="39"/>
      <c r="D42" t="s">
        <v>422</v>
      </c>
      <c r="F42" s="7"/>
      <c r="G42" s="636"/>
    </row>
    <row r="43" spans="2:11">
      <c r="B43" s="281" t="s">
        <v>356</v>
      </c>
      <c r="C43" s="39"/>
      <c r="F43" s="7"/>
      <c r="G43" s="630">
        <v>3000</v>
      </c>
    </row>
    <row r="44" spans="2:11">
      <c r="B44" s="281" t="s">
        <v>390</v>
      </c>
      <c r="C44" s="39"/>
      <c r="F44" s="7"/>
      <c r="G44" s="630">
        <v>180</v>
      </c>
    </row>
    <row r="45" spans="2:11">
      <c r="B45" s="281" t="s">
        <v>357</v>
      </c>
      <c r="C45" s="39"/>
      <c r="F45" s="7"/>
      <c r="G45" s="630">
        <v>3000</v>
      </c>
    </row>
    <row r="46" spans="2:11">
      <c r="B46" s="281" t="s">
        <v>391</v>
      </c>
      <c r="C46" s="39"/>
      <c r="F46" s="7"/>
      <c r="G46" s="630">
        <v>180</v>
      </c>
    </row>
    <row r="47" spans="2:11">
      <c r="B47" s="281"/>
      <c r="C47" s="39"/>
      <c r="F47" s="7"/>
      <c r="G47" s="630"/>
    </row>
    <row r="48" spans="2:11">
      <c r="B48" s="282"/>
      <c r="C48" s="39"/>
      <c r="F48" s="6" t="str">
        <f>F28</f>
        <v xml:space="preserve">Solde </v>
      </c>
      <c r="G48" s="1241">
        <f>SUM(G43:G47)</f>
        <v>6360</v>
      </c>
    </row>
    <row r="49" spans="2:9">
      <c r="B49" s="282" t="s">
        <v>430</v>
      </c>
      <c r="C49" s="39"/>
      <c r="F49" s="6"/>
      <c r="G49" s="1243"/>
    </row>
    <row r="50" spans="2:9">
      <c r="B50" s="281"/>
      <c r="C50" s="39"/>
      <c r="F50" s="6"/>
      <c r="G50" s="630"/>
    </row>
    <row r="51" spans="2:9">
      <c r="B51" s="281"/>
      <c r="C51" s="39"/>
      <c r="F51" s="6"/>
      <c r="G51" s="630"/>
    </row>
    <row r="52" spans="2:9">
      <c r="B52" s="281"/>
      <c r="F52" s="7"/>
      <c r="G52" s="630"/>
    </row>
    <row r="53" spans="2:9">
      <c r="B53" s="281"/>
      <c r="F53" s="7"/>
      <c r="G53" s="630"/>
    </row>
    <row r="54" spans="2:9">
      <c r="B54" s="674"/>
      <c r="F54" s="7"/>
      <c r="G54" s="630"/>
    </row>
    <row r="55" spans="2:9">
      <c r="B55" s="282"/>
      <c r="C55" s="39"/>
      <c r="F55" s="6" t="s">
        <v>424</v>
      </c>
      <c r="G55" s="1241">
        <f>SUM(G50:G54)</f>
        <v>0</v>
      </c>
    </row>
    <row r="56" spans="2:9">
      <c r="B56" s="282" t="s">
        <v>416</v>
      </c>
      <c r="C56" s="39"/>
      <c r="F56" s="6"/>
      <c r="G56" s="1243"/>
    </row>
    <row r="57" spans="2:9">
      <c r="B57" s="674"/>
      <c r="F57" s="7"/>
      <c r="G57" s="632"/>
      <c r="I57" s="607"/>
    </row>
    <row r="58" spans="2:9">
      <c r="B58" s="282"/>
      <c r="C58" s="39"/>
      <c r="F58" s="6" t="s">
        <v>424</v>
      </c>
      <c r="G58" s="1241">
        <f>SUM(G57:G57)</f>
        <v>0</v>
      </c>
    </row>
    <row r="59" spans="2:9">
      <c r="B59" s="1239" t="s">
        <v>216</v>
      </c>
      <c r="C59" s="1240"/>
      <c r="D59" s="1240"/>
      <c r="E59" s="1240"/>
      <c r="F59" s="1240"/>
      <c r="G59" s="1241">
        <f>SUM(G18:G58)/2</f>
        <v>10248</v>
      </c>
    </row>
    <row r="60" spans="2:9">
      <c r="G60" s="23"/>
    </row>
    <row r="61" spans="2:9">
      <c r="G61" s="23"/>
    </row>
    <row r="62" spans="2:9">
      <c r="B62" s="39"/>
    </row>
    <row r="63" spans="2:9">
      <c r="B63" s="39"/>
    </row>
    <row r="64" spans="2:9">
      <c r="B64" s="39"/>
      <c r="C64" s="7"/>
    </row>
    <row r="65" spans="3:3">
      <c r="C65" s="7"/>
    </row>
    <row r="66" spans="3:3">
      <c r="C66" s="7"/>
    </row>
    <row r="67" spans="3:3">
      <c r="C67" s="7"/>
    </row>
    <row r="68" spans="3:3">
      <c r="C68" s="7"/>
    </row>
    <row r="69" spans="3:3">
      <c r="C69" s="7"/>
    </row>
    <row r="70" spans="3:3">
      <c r="C70" s="7"/>
    </row>
    <row r="71" spans="3:3">
      <c r="C71" s="7"/>
    </row>
    <row r="72" spans="3:3">
      <c r="C72" s="7"/>
    </row>
    <row r="73" spans="3:3">
      <c r="C73" s="7"/>
    </row>
    <row r="74" spans="3:3">
      <c r="C74" s="7"/>
    </row>
    <row r="75" spans="3:3">
      <c r="C75" s="7"/>
    </row>
    <row r="76" spans="3:3">
      <c r="C76" s="7"/>
    </row>
    <row r="77" spans="3:3">
      <c r="C77" s="7"/>
    </row>
    <row r="78" spans="3:3">
      <c r="C78" s="7"/>
    </row>
    <row r="79" spans="3:3">
      <c r="C79" s="7"/>
    </row>
    <row r="80" spans="3:3">
      <c r="C80" s="7"/>
    </row>
    <row r="81" spans="3:3">
      <c r="C81" s="7"/>
    </row>
    <row r="83" spans="3:3">
      <c r="C83" s="7"/>
    </row>
    <row r="84" spans="3:3">
      <c r="C84" s="7"/>
    </row>
    <row r="85" spans="3:3">
      <c r="C85" s="7"/>
    </row>
    <row r="86" spans="3:3">
      <c r="C86" s="7"/>
    </row>
    <row r="87" spans="3:3">
      <c r="C87" s="7"/>
    </row>
    <row r="88" spans="3:3">
      <c r="C88" s="7"/>
    </row>
    <row r="89" spans="3:3">
      <c r="C89" s="7"/>
    </row>
    <row r="90" spans="3:3">
      <c r="C90" s="7"/>
    </row>
    <row r="92" spans="3:3">
      <c r="C92" s="7"/>
    </row>
    <row r="93" spans="3:3">
      <c r="C93" s="7"/>
    </row>
    <row r="94" spans="3:3">
      <c r="C94" s="7"/>
    </row>
    <row r="95" spans="3:3">
      <c r="C95" s="7"/>
    </row>
    <row r="96" spans="3:3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2:3">
      <c r="C113" s="7"/>
    </row>
    <row r="115" spans="2:3">
      <c r="B115" s="262"/>
      <c r="C115" s="23"/>
    </row>
    <row r="116" spans="2:3">
      <c r="B116" s="262"/>
      <c r="C116" s="23"/>
    </row>
    <row r="117" spans="2:3">
      <c r="B117" s="262"/>
      <c r="C117" s="23"/>
    </row>
    <row r="118" spans="2:3">
      <c r="B118" s="262"/>
      <c r="C118" s="23"/>
    </row>
    <row r="119" spans="2:3">
      <c r="B119" s="262"/>
      <c r="C119" s="23"/>
    </row>
    <row r="120" spans="2:3">
      <c r="B120" s="262"/>
      <c r="C120" s="23"/>
    </row>
    <row r="121" spans="2:3">
      <c r="B121" s="262"/>
      <c r="C121" s="23"/>
    </row>
    <row r="122" spans="2:3">
      <c r="B122" s="262"/>
      <c r="C122" s="23"/>
    </row>
    <row r="123" spans="2:3">
      <c r="B123" s="262"/>
      <c r="C123" s="23"/>
    </row>
    <row r="124" spans="2:3">
      <c r="B124" s="262"/>
      <c r="C124" s="23"/>
    </row>
    <row r="125" spans="2:3">
      <c r="B125" s="262"/>
      <c r="C125" s="23"/>
    </row>
    <row r="126" spans="2:3">
      <c r="B126" s="262"/>
      <c r="C126" s="23"/>
    </row>
    <row r="127" spans="2:3">
      <c r="B127" s="262"/>
      <c r="C127" s="23"/>
    </row>
    <row r="128" spans="2:3">
      <c r="B128" s="262"/>
      <c r="C128" s="23"/>
    </row>
    <row r="129" spans="2:3">
      <c r="B129" s="262"/>
      <c r="C129" s="23"/>
    </row>
    <row r="130" spans="2:3">
      <c r="B130" s="262"/>
      <c r="C130" s="23"/>
    </row>
    <row r="131" spans="2:3">
      <c r="B131" s="262"/>
      <c r="C131" s="23"/>
    </row>
    <row r="132" spans="2:3">
      <c r="B132" s="262"/>
      <c r="C132" s="23"/>
    </row>
    <row r="133" spans="2:3">
      <c r="B133" s="262"/>
      <c r="C133" s="23"/>
    </row>
    <row r="134" spans="2:3">
      <c r="B134" s="262"/>
      <c r="C134" s="23"/>
    </row>
    <row r="135" spans="2:3">
      <c r="B135" s="262"/>
      <c r="C135" s="23"/>
    </row>
    <row r="136" spans="2:3">
      <c r="B136" s="262"/>
      <c r="C136" s="23"/>
    </row>
    <row r="137" spans="2:3">
      <c r="B137" s="262"/>
      <c r="C137" s="23"/>
    </row>
    <row r="138" spans="2:3">
      <c r="B138" s="262"/>
      <c r="C138" s="23"/>
    </row>
    <row r="139" spans="2:3">
      <c r="B139" s="262"/>
      <c r="C139" s="23"/>
    </row>
    <row r="140" spans="2:3">
      <c r="B140" s="262"/>
      <c r="C140" s="23"/>
    </row>
    <row r="141" spans="2:3">
      <c r="B141" s="262"/>
      <c r="C141" s="23"/>
    </row>
    <row r="142" spans="2:3">
      <c r="B142" s="262"/>
      <c r="C142" s="23"/>
    </row>
    <row r="143" spans="2:3">
      <c r="B143" s="262"/>
      <c r="C143" s="23"/>
    </row>
    <row r="144" spans="2:3">
      <c r="B144" s="262"/>
      <c r="C144" s="23"/>
    </row>
    <row r="145" spans="2:3">
      <c r="B145" s="262"/>
      <c r="C145" s="23"/>
    </row>
    <row r="146" spans="2:3">
      <c r="B146" s="262"/>
      <c r="C146" s="23"/>
    </row>
    <row r="147" spans="2:3">
      <c r="B147" s="262"/>
      <c r="C147" s="23"/>
    </row>
    <row r="148" spans="2:3">
      <c r="B148" s="262"/>
      <c r="C148" s="23"/>
    </row>
    <row r="149" spans="2:3">
      <c r="B149" s="262"/>
      <c r="C149" s="23"/>
    </row>
    <row r="150" spans="2:3">
      <c r="B150" s="262"/>
      <c r="C150" s="23"/>
    </row>
    <row r="151" spans="2:3">
      <c r="B151" s="262"/>
      <c r="C151" s="23"/>
    </row>
    <row r="152" spans="2:3">
      <c r="B152" s="262"/>
      <c r="C152" s="23"/>
    </row>
    <row r="153" spans="2:3">
      <c r="B153" s="262"/>
      <c r="C153" s="23"/>
    </row>
    <row r="154" spans="2:3">
      <c r="B154" s="262"/>
      <c r="C154" s="23"/>
    </row>
    <row r="155" spans="2:3">
      <c r="B155" s="262"/>
      <c r="C155" s="23"/>
    </row>
    <row r="156" spans="2:3">
      <c r="B156" s="262"/>
      <c r="C156" s="23"/>
    </row>
    <row r="157" spans="2:3">
      <c r="B157" s="262"/>
      <c r="C157" s="23"/>
    </row>
    <row r="158" spans="2:3">
      <c r="B158" s="262"/>
      <c r="C158" s="23"/>
    </row>
    <row r="159" spans="2:3">
      <c r="B159" s="262"/>
      <c r="C159" s="23"/>
    </row>
    <row r="160" spans="2:3">
      <c r="B160" s="262"/>
      <c r="C160" s="23"/>
    </row>
    <row r="161" spans="2:3">
      <c r="B161" s="262"/>
      <c r="C161" s="23"/>
    </row>
    <row r="162" spans="2:3">
      <c r="B162" s="262"/>
      <c r="C162" s="23"/>
    </row>
    <row r="163" spans="2:3">
      <c r="B163" s="262"/>
      <c r="C163" s="23"/>
    </row>
    <row r="164" spans="2:3">
      <c r="B164" s="262"/>
      <c r="C164" s="23"/>
    </row>
    <row r="166" spans="2:3">
      <c r="B166" s="262"/>
      <c r="C166" s="2"/>
    </row>
  </sheetData>
  <mergeCells count="2">
    <mergeCell ref="G16:G17"/>
    <mergeCell ref="G4:G5"/>
  </mergeCells>
  <phoneticPr fontId="0" type="noConversion"/>
  <pageMargins left="0.78740157499999996" right="0.78740157499999996" top="0.984251969" bottom="0.984251969" header="0.4921259845" footer="0.4921259845"/>
  <pageSetup paperSize="9" scale="82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76EE-DC60-4B5B-B0B4-A2633AD6E859}">
  <dimension ref="A1:L101"/>
  <sheetViews>
    <sheetView view="pageBreakPreview" zoomScaleNormal="100" zoomScaleSheetLayoutView="100" workbookViewId="0">
      <selection activeCell="P29" sqref="P29"/>
    </sheetView>
  </sheetViews>
  <sheetFormatPr defaultColWidth="11.42578125" defaultRowHeight="12.75"/>
  <cols>
    <col min="1" max="1" width="1.42578125" style="100" customWidth="1"/>
    <col min="2" max="2" width="15.28515625" style="100" customWidth="1"/>
    <col min="3" max="5" width="11.42578125" style="100"/>
    <col min="6" max="6" width="23.85546875" style="100" customWidth="1"/>
    <col min="7" max="8" width="11.42578125" style="100"/>
    <col min="9" max="9" width="15.5703125" style="100" bestFit="1" customWidth="1"/>
    <col min="10" max="10" width="14.42578125" style="100" customWidth="1"/>
    <col min="11" max="11" width="1.42578125" style="100" customWidth="1"/>
    <col min="12" max="16384" width="11.42578125" style="100"/>
  </cols>
  <sheetData>
    <row r="1" spans="1:12" ht="15.75">
      <c r="B1" s="414" t="str" cm="1">
        <f t="array" ref="B1:D1">Résultat!B1:D1</f>
        <v>SANCY - SLP</v>
      </c>
      <c r="C1" s="415">
        <v>0</v>
      </c>
      <c r="D1" s="415">
        <v>0</v>
      </c>
      <c r="E1" s="415"/>
      <c r="F1" s="415"/>
      <c r="G1" s="415" t="s">
        <v>431</v>
      </c>
      <c r="H1" s="415"/>
      <c r="I1" s="416">
        <f>Sommaire!C1</f>
        <v>46022</v>
      </c>
    </row>
    <row r="2" spans="1:12">
      <c r="G2" s="100" t="s">
        <v>432</v>
      </c>
      <c r="L2" s="100" t="s">
        <v>433</v>
      </c>
    </row>
    <row r="3" spans="1:12">
      <c r="A3" s="417"/>
      <c r="G3" s="418"/>
      <c r="J3" s="418"/>
      <c r="K3" s="417"/>
      <c r="L3" s="100" t="s">
        <v>434</v>
      </c>
    </row>
    <row r="4" spans="1:12">
      <c r="B4" s="1006" t="s">
        <v>435</v>
      </c>
      <c r="C4" s="1006"/>
      <c r="D4" s="1006"/>
      <c r="E4" s="1006"/>
      <c r="F4" s="1006"/>
      <c r="G4" s="1006"/>
      <c r="H4" s="1006"/>
      <c r="I4" s="1006"/>
      <c r="J4" s="1006"/>
      <c r="L4" s="100" t="s">
        <v>436</v>
      </c>
    </row>
    <row r="5" spans="1:12">
      <c r="B5" s="1244"/>
      <c r="C5" s="420"/>
      <c r="D5" s="420"/>
      <c r="E5" s="420"/>
      <c r="F5" s="420"/>
      <c r="G5" s="420"/>
      <c r="H5" s="420"/>
      <c r="I5" s="1245" t="s">
        <v>437</v>
      </c>
      <c r="J5" s="1245" t="s">
        <v>169</v>
      </c>
      <c r="L5" s="100" t="s">
        <v>438</v>
      </c>
    </row>
    <row r="6" spans="1:12">
      <c r="B6" s="675"/>
      <c r="I6" s="905">
        <f>I1</f>
        <v>46022</v>
      </c>
      <c r="J6" s="905">
        <v>45657</v>
      </c>
      <c r="L6" s="421" t="s">
        <v>439</v>
      </c>
    </row>
    <row r="7" spans="1:12" ht="15">
      <c r="B7" s="675"/>
      <c r="H7" s="422"/>
      <c r="I7" s="1246"/>
      <c r="J7" s="1246"/>
      <c r="L7" s="615" t="s">
        <v>440</v>
      </c>
    </row>
    <row r="8" spans="1:12">
      <c r="B8" s="676" t="s">
        <v>441</v>
      </c>
      <c r="H8" s="422"/>
      <c r="I8" s="650">
        <f>+I10+I15+I20+I30+I38+I50</f>
        <v>11366786.710000001</v>
      </c>
      <c r="J8" s="650">
        <f>+J10+J15+J20+J30+J38+J50</f>
        <v>13320538.439999999</v>
      </c>
    </row>
    <row r="9" spans="1:12">
      <c r="B9" s="676"/>
      <c r="H9" s="422"/>
      <c r="I9" s="651"/>
      <c r="J9" s="651"/>
    </row>
    <row r="10" spans="1:12">
      <c r="B10" s="675"/>
      <c r="C10" s="423" t="s">
        <v>442</v>
      </c>
      <c r="H10" s="422"/>
      <c r="I10" s="652">
        <f>SUM(I12:I13)</f>
        <v>11366786.710000001</v>
      </c>
      <c r="J10" s="652">
        <f t="shared" ref="J10" si="0">SUM(J12:J13)</f>
        <v>13320538.439999999</v>
      </c>
      <c r="K10" s="653"/>
    </row>
    <row r="11" spans="1:12">
      <c r="B11" s="675"/>
      <c r="C11" s="423"/>
      <c r="H11" s="422"/>
      <c r="I11" s="651"/>
      <c r="J11" s="651"/>
    </row>
    <row r="12" spans="1:12">
      <c r="B12" s="675"/>
      <c r="C12" s="423"/>
      <c r="D12" s="424" t="s">
        <v>443</v>
      </c>
      <c r="H12" s="422"/>
      <c r="I12" s="651">
        <f>SUMIFS(Inventaire!N13:N48,Inventaire!$A$13:$A$48,"*I*",Inventaire!C13:C48,"*Action*")</f>
        <v>0</v>
      </c>
      <c r="J12" s="651"/>
      <c r="L12" s="39" t="s">
        <v>444</v>
      </c>
    </row>
    <row r="13" spans="1:12">
      <c r="B13" s="675"/>
      <c r="C13" s="423"/>
      <c r="D13" s="424" t="s">
        <v>445</v>
      </c>
      <c r="H13" s="422"/>
      <c r="I13" s="651">
        <f>SUMIF(Inventaire!$B$13:$B$48,"??AC*",Inventaire!$N$13:$N$48)+SUMIF(Inventaire!B13:B48," ??AD*",Inventaire!N13:N48)+SUMIF(Inventaire!B13:B48," ??SA*",Inventaire!N13:N48)+SUMIF(Inventaire!B13:B48," ??BS*",Inventaire!N13:N48)</f>
        <v>11366786.710000001</v>
      </c>
      <c r="J13" s="651">
        <v>13320538.439999999</v>
      </c>
      <c r="L13" s="39" t="s">
        <v>446</v>
      </c>
    </row>
    <row r="14" spans="1:12">
      <c r="B14" s="675"/>
      <c r="C14" s="423"/>
      <c r="D14" s="424"/>
      <c r="H14" s="422"/>
      <c r="I14" s="651"/>
      <c r="J14" s="651"/>
    </row>
    <row r="15" spans="1:12">
      <c r="B15" s="675"/>
      <c r="C15" s="423" t="s">
        <v>447</v>
      </c>
      <c r="D15" s="424"/>
      <c r="H15" s="422"/>
      <c r="I15" s="652">
        <f>SUM(I17:I18)</f>
        <v>0</v>
      </c>
      <c r="J15" s="653">
        <f>SUM(J17:J18)</f>
        <v>0</v>
      </c>
    </row>
    <row r="16" spans="1:12">
      <c r="B16" s="675"/>
      <c r="C16" s="423"/>
      <c r="D16" s="424"/>
      <c r="H16" s="422"/>
      <c r="I16" s="651"/>
      <c r="J16" s="651"/>
    </row>
    <row r="17" spans="2:12">
      <c r="B17" s="675"/>
      <c r="C17" s="423"/>
      <c r="D17" s="424" t="s">
        <v>443</v>
      </c>
      <c r="H17" s="422"/>
      <c r="I17" s="651"/>
      <c r="J17" s="651"/>
    </row>
    <row r="18" spans="2:12">
      <c r="B18" s="675"/>
      <c r="C18" s="423"/>
      <c r="D18" s="424" t="s">
        <v>445</v>
      </c>
      <c r="H18" s="422"/>
      <c r="I18" s="651">
        <f>SUMIF(Inventaire!$B$13:$B$48,"??OC*",Inventaire!$N$13:$N$48)</f>
        <v>0</v>
      </c>
      <c r="J18" s="651">
        <v>0</v>
      </c>
      <c r="L18" s="39" t="s">
        <v>122</v>
      </c>
    </row>
    <row r="19" spans="2:12">
      <c r="B19" s="675"/>
      <c r="D19" s="425"/>
      <c r="H19" s="422"/>
      <c r="I19" s="651"/>
      <c r="J19" s="651"/>
      <c r="L19" s="39"/>
    </row>
    <row r="20" spans="2:12">
      <c r="B20" s="675"/>
      <c r="C20" s="423" t="s">
        <v>448</v>
      </c>
      <c r="D20" s="425"/>
      <c r="H20" s="422"/>
      <c r="I20" s="652">
        <f>SUM(I22:I23)</f>
        <v>0</v>
      </c>
      <c r="J20" s="653">
        <f>SUM(J22:J23)</f>
        <v>0</v>
      </c>
      <c r="L20" s="39"/>
    </row>
    <row r="21" spans="2:12">
      <c r="B21" s="675"/>
      <c r="C21" s="423"/>
      <c r="D21" s="425"/>
      <c r="H21" s="422"/>
      <c r="I21" s="651"/>
      <c r="J21" s="651"/>
      <c r="L21" s="39"/>
    </row>
    <row r="22" spans="2:12">
      <c r="B22" s="675"/>
      <c r="C22" s="423"/>
      <c r="D22" s="424" t="s">
        <v>443</v>
      </c>
      <c r="H22" s="422"/>
      <c r="I22" s="651"/>
      <c r="J22" s="651"/>
      <c r="L22" s="39"/>
    </row>
    <row r="23" spans="2:12">
      <c r="B23" s="675"/>
      <c r="C23" s="423"/>
      <c r="D23" s="424" t="s">
        <v>445</v>
      </c>
      <c r="H23" s="422"/>
      <c r="I23" s="651">
        <f>SUMIF(Inventaire!$B$13:$B$48,"??OS*",Inventaire!$N$13:$N$48)+SUMIF(Inventaire!$B$13:$B$48,"??OR*",Inventaire!$N$13:$N$48)</f>
        <v>0</v>
      </c>
      <c r="J23" s="651">
        <v>0</v>
      </c>
      <c r="L23" s="39" t="s">
        <v>449</v>
      </c>
    </row>
    <row r="24" spans="2:12">
      <c r="B24" s="675"/>
      <c r="C24" s="423"/>
      <c r="D24" s="425"/>
      <c r="H24" s="422"/>
      <c r="I24" s="651"/>
      <c r="J24" s="651"/>
      <c r="L24" s="39"/>
    </row>
    <row r="25" spans="2:12">
      <c r="B25" s="675"/>
      <c r="C25" s="423" t="s">
        <v>450</v>
      </c>
      <c r="D25" s="425"/>
      <c r="H25" s="422"/>
      <c r="I25" s="651">
        <f>I27+I28</f>
        <v>0</v>
      </c>
      <c r="J25" s="651"/>
    </row>
    <row r="26" spans="2:12">
      <c r="B26" s="675"/>
      <c r="C26" s="423"/>
      <c r="D26" s="425"/>
      <c r="H26" s="422"/>
      <c r="I26" s="651"/>
      <c r="J26" s="651"/>
    </row>
    <row r="27" spans="2:12">
      <c r="B27" s="675"/>
      <c r="C27" s="423"/>
      <c r="D27" s="425" t="s">
        <v>443</v>
      </c>
      <c r="H27" s="422"/>
      <c r="I27" s="651"/>
      <c r="J27" s="651"/>
    </row>
    <row r="28" spans="2:12">
      <c r="B28" s="675"/>
      <c r="C28" s="423"/>
      <c r="D28" s="425" t="s">
        <v>445</v>
      </c>
      <c r="H28" s="422"/>
      <c r="I28" s="651"/>
      <c r="J28" s="651"/>
    </row>
    <row r="29" spans="2:12">
      <c r="B29" s="675"/>
      <c r="C29" s="423"/>
      <c r="D29" s="425"/>
      <c r="H29" s="422"/>
      <c r="I29" s="651"/>
      <c r="J29" s="651"/>
    </row>
    <row r="30" spans="2:12">
      <c r="B30" s="675"/>
      <c r="C30" s="423" t="s">
        <v>451</v>
      </c>
      <c r="E30" s="425"/>
      <c r="H30" s="422"/>
      <c r="I30" s="653">
        <f>SUM(I32:I34)</f>
        <v>0</v>
      </c>
      <c r="J30" s="653">
        <f>SUM(J32:J34)</f>
        <v>0</v>
      </c>
    </row>
    <row r="31" spans="2:12">
      <c r="B31" s="675"/>
      <c r="C31" s="423"/>
      <c r="E31" s="425"/>
      <c r="H31" s="422"/>
      <c r="I31" s="651"/>
      <c r="J31" s="651"/>
    </row>
    <row r="32" spans="2:12">
      <c r="B32" s="675"/>
      <c r="C32" s="423"/>
      <c r="D32" s="425" t="s">
        <v>452</v>
      </c>
      <c r="E32" s="425"/>
      <c r="H32" s="422"/>
      <c r="I32" s="651">
        <f>SUMIF(Inventaire!$C$49:$C$61,"*FCP*",Inventaire!$N$49:$N$61)+SUMIF(Inventaire!$C$49:$C$61,"*SICAV*",Inventaire!$N$49:$N$61)</f>
        <v>0</v>
      </c>
      <c r="J32" s="651">
        <v>0</v>
      </c>
      <c r="L32" s="39" t="s">
        <v>453</v>
      </c>
    </row>
    <row r="33" spans="2:12">
      <c r="B33" s="675"/>
      <c r="C33" s="423"/>
      <c r="D33" s="425" t="s">
        <v>454</v>
      </c>
      <c r="E33" s="425"/>
      <c r="H33" s="422"/>
      <c r="I33" s="651">
        <f>SUMIF(Inventaire!$C$13:$C$61,"*FPCI*",Inventaire!$N$13:$N$61)+SUMIF(Inventaire!$C$13:$C$61,"*SLP*",Inventaire!$N$13:$N$61)+SUMIF(Inventaire!$C$13:$C$61,"*FCPR*",Inventaire!$N$13:$N$61)+SUMIF(Inventaire!$C$13:$C$61,"*FCPI*",Inventaire!$N$13:$N$61)</f>
        <v>0</v>
      </c>
      <c r="J33" s="651">
        <v>0</v>
      </c>
      <c r="L33" s="39" t="s">
        <v>455</v>
      </c>
    </row>
    <row r="34" spans="2:12">
      <c r="B34" s="675"/>
      <c r="D34" s="425" t="s">
        <v>456</v>
      </c>
      <c r="H34" s="422"/>
      <c r="I34" s="651"/>
      <c r="J34" s="651"/>
      <c r="L34" s="39"/>
    </row>
    <row r="35" spans="2:12">
      <c r="B35" s="675"/>
      <c r="D35" s="425"/>
      <c r="H35" s="422"/>
      <c r="I35" s="651"/>
      <c r="J35" s="651"/>
      <c r="L35" s="39"/>
    </row>
    <row r="36" spans="2:12">
      <c r="B36" s="675"/>
      <c r="C36" s="100" t="s">
        <v>457</v>
      </c>
      <c r="D36" s="425"/>
      <c r="H36" s="422"/>
      <c r="I36" s="651">
        <f>SUMIF(Inventaire!$B$13:$B$48,"??CT*",Inventaire!$N$13:$N$48)</f>
        <v>0</v>
      </c>
      <c r="J36" s="651"/>
      <c r="L36" s="826" t="s">
        <v>128</v>
      </c>
    </row>
    <row r="37" spans="2:12">
      <c r="B37" s="675"/>
      <c r="D37" s="425"/>
      <c r="H37" s="422"/>
      <c r="I37" s="651"/>
      <c r="J37" s="651"/>
    </row>
    <row r="38" spans="2:12">
      <c r="B38" s="675"/>
      <c r="C38" s="423" t="s">
        <v>458</v>
      </c>
      <c r="H38" s="422"/>
      <c r="I38" s="651"/>
      <c r="J38" s="651"/>
    </row>
    <row r="39" spans="2:12">
      <c r="B39" s="675"/>
      <c r="C39" s="423"/>
      <c r="H39" s="422"/>
      <c r="I39" s="651"/>
      <c r="J39" s="651"/>
    </row>
    <row r="40" spans="2:12">
      <c r="B40" s="675"/>
      <c r="C40" s="423" t="s">
        <v>459</v>
      </c>
      <c r="H40" s="422"/>
      <c r="I40" s="651">
        <f>SUM(I42:I46)</f>
        <v>0</v>
      </c>
      <c r="J40" s="651"/>
    </row>
    <row r="41" spans="2:12">
      <c r="B41" s="675"/>
      <c r="C41" s="423"/>
      <c r="H41" s="422"/>
      <c r="I41" s="651"/>
      <c r="J41" s="651"/>
    </row>
    <row r="42" spans="2:12">
      <c r="B42" s="675"/>
      <c r="C42" s="423"/>
      <c r="D42" s="425" t="s">
        <v>460</v>
      </c>
      <c r="H42" s="422"/>
      <c r="I42" s="651"/>
      <c r="J42" s="651"/>
    </row>
    <row r="43" spans="2:12">
      <c r="B43" s="675"/>
      <c r="C43" s="423"/>
      <c r="D43" s="425" t="s">
        <v>461</v>
      </c>
      <c r="H43" s="422"/>
      <c r="I43" s="651"/>
      <c r="J43" s="651"/>
    </row>
    <row r="44" spans="2:12">
      <c r="B44" s="675"/>
      <c r="C44" s="423"/>
      <c r="D44" s="425" t="s">
        <v>462</v>
      </c>
      <c r="H44" s="422"/>
      <c r="I44" s="651"/>
      <c r="J44" s="651"/>
    </row>
    <row r="45" spans="2:12">
      <c r="B45" s="675"/>
      <c r="C45" s="423"/>
      <c r="D45" s="425" t="s">
        <v>463</v>
      </c>
      <c r="H45" s="422"/>
      <c r="I45" s="651"/>
      <c r="J45" s="651"/>
    </row>
    <row r="46" spans="2:12">
      <c r="B46" s="675"/>
      <c r="C46" s="423"/>
      <c r="D46" s="425" t="s">
        <v>464</v>
      </c>
      <c r="H46" s="422"/>
      <c r="I46" s="651"/>
      <c r="J46" s="651"/>
    </row>
    <row r="47" spans="2:12">
      <c r="B47" s="675"/>
      <c r="C47" s="423"/>
      <c r="H47" s="422"/>
      <c r="I47" s="651"/>
      <c r="J47" s="651"/>
    </row>
    <row r="48" spans="2:12">
      <c r="B48" s="675"/>
      <c r="C48" s="423" t="s">
        <v>465</v>
      </c>
      <c r="H48" s="422"/>
      <c r="I48" s="651">
        <f>SUMIF(Inventaire!$B$13:$B$48,"??CC*",Inventaire!$N$13:$N$48)+SUMIF(Inventaire!$B$13:$B$48,"??PR*",Inventaire!$N$13:$MU$48)</f>
        <v>0</v>
      </c>
      <c r="J48" s="651">
        <v>0</v>
      </c>
      <c r="L48" s="100" t="s">
        <v>466</v>
      </c>
    </row>
    <row r="49" spans="1:11">
      <c r="B49" s="675"/>
      <c r="C49" s="423"/>
      <c r="H49" s="422"/>
      <c r="I49" s="651"/>
      <c r="J49" s="651"/>
    </row>
    <row r="50" spans="1:11">
      <c r="B50" s="675"/>
      <c r="C50" s="423" t="s">
        <v>467</v>
      </c>
      <c r="D50" s="425"/>
      <c r="H50" s="422"/>
      <c r="I50" s="651">
        <v>0</v>
      </c>
      <c r="J50" s="651">
        <v>0</v>
      </c>
    </row>
    <row r="51" spans="1:11">
      <c r="B51" s="675"/>
      <c r="C51" s="423"/>
      <c r="D51" s="425"/>
      <c r="H51" s="422"/>
      <c r="I51" s="651"/>
      <c r="J51" s="651"/>
    </row>
    <row r="52" spans="1:11" ht="15">
      <c r="B52" s="1003" t="s">
        <v>468</v>
      </c>
      <c r="C52" s="1004"/>
      <c r="D52" s="1004"/>
      <c r="E52" s="1004"/>
      <c r="F52" s="1004"/>
      <c r="G52" s="1004"/>
      <c r="H52" s="1005"/>
      <c r="I52" s="1247">
        <f>+I10+I15+I20+I30+I38+I50+I25+I36+I40+I48</f>
        <v>11366786.710000001</v>
      </c>
      <c r="J52" s="1247">
        <f>+J10+J15+J20+J30+J38+J50</f>
        <v>13320538.439999999</v>
      </c>
    </row>
    <row r="53" spans="1:11">
      <c r="B53" s="675"/>
      <c r="D53" s="425"/>
      <c r="H53" s="422"/>
      <c r="I53" s="651"/>
      <c r="J53" s="651"/>
    </row>
    <row r="54" spans="1:11">
      <c r="B54" s="676" t="s">
        <v>469</v>
      </c>
      <c r="C54" s="423"/>
      <c r="H54" s="422"/>
      <c r="I54" s="650">
        <f>Inventaire!D38</f>
        <v>0</v>
      </c>
      <c r="J54" s="650">
        <v>0</v>
      </c>
    </row>
    <row r="55" spans="1:11">
      <c r="B55" s="676"/>
      <c r="C55" s="423"/>
      <c r="H55" s="422"/>
      <c r="I55" s="651"/>
      <c r="J55" s="651"/>
    </row>
    <row r="56" spans="1:11">
      <c r="B56" s="676" t="s">
        <v>470</v>
      </c>
      <c r="E56" s="425"/>
      <c r="H56" s="422"/>
      <c r="I56" s="650">
        <f>Inventaire!D36</f>
        <v>109211.49</v>
      </c>
      <c r="J56" s="650">
        <v>140575.41</v>
      </c>
    </row>
    <row r="57" spans="1:11">
      <c r="B57" s="676"/>
      <c r="E57" s="425"/>
      <c r="H57" s="422"/>
      <c r="I57" s="650"/>
      <c r="J57" s="650"/>
    </row>
    <row r="58" spans="1:11" ht="15">
      <c r="B58" s="1003" t="s">
        <v>471</v>
      </c>
      <c r="C58" s="1004"/>
      <c r="D58" s="1004"/>
      <c r="E58" s="1004"/>
      <c r="F58" s="1004"/>
      <c r="G58" s="1004"/>
      <c r="H58" s="1005"/>
      <c r="I58" s="1247">
        <f>+I54+I56</f>
        <v>109211.49</v>
      </c>
      <c r="J58" s="1247">
        <f>+J54+J56</f>
        <v>140575.41</v>
      </c>
    </row>
    <row r="59" spans="1:11">
      <c r="B59" s="1248"/>
      <c r="C59" s="1249"/>
      <c r="D59" s="1249"/>
      <c r="E59" s="1250"/>
      <c r="F59" s="1249"/>
      <c r="G59" s="1249"/>
      <c r="H59" s="1251"/>
      <c r="I59" s="906"/>
      <c r="J59" s="906"/>
    </row>
    <row r="60" spans="1:11" ht="15">
      <c r="A60" s="417"/>
      <c r="B60" s="1252" t="s">
        <v>472</v>
      </c>
      <c r="C60" s="1253"/>
      <c r="D60" s="1253"/>
      <c r="E60" s="1253"/>
      <c r="F60" s="1253"/>
      <c r="G60" s="1253"/>
      <c r="H60" s="1254"/>
      <c r="I60" s="1255">
        <f>+I52+I58</f>
        <v>11475998.200000001</v>
      </c>
      <c r="J60" s="1255">
        <f>+J52+J58</f>
        <v>13461113.85</v>
      </c>
      <c r="K60" s="417"/>
    </row>
    <row r="61" spans="1:11">
      <c r="B61" s="427"/>
      <c r="C61" s="427"/>
      <c r="D61" s="427"/>
      <c r="E61" s="427"/>
      <c r="F61" s="427"/>
      <c r="G61" s="427"/>
      <c r="H61" s="427"/>
      <c r="I61" s="427"/>
      <c r="J61" s="428"/>
    </row>
    <row r="62" spans="1:11">
      <c r="B62" s="1256" t="s">
        <v>473</v>
      </c>
      <c r="C62" s="1256"/>
      <c r="D62" s="1256"/>
      <c r="E62" s="1256"/>
      <c r="F62" s="1256"/>
      <c r="G62" s="1256"/>
      <c r="H62" s="1256"/>
      <c r="I62" s="1256"/>
      <c r="J62" s="1256"/>
    </row>
    <row r="63" spans="1:11">
      <c r="B63" s="1257"/>
      <c r="C63" s="427"/>
      <c r="D63" s="427"/>
      <c r="E63" s="427"/>
      <c r="F63" s="427"/>
      <c r="G63" s="427"/>
      <c r="H63" s="427"/>
      <c r="I63" s="1258">
        <f>+I6</f>
        <v>46022</v>
      </c>
      <c r="J63" s="1258">
        <f>+J6</f>
        <v>45657</v>
      </c>
    </row>
    <row r="64" spans="1:11">
      <c r="B64" s="676" t="s">
        <v>474</v>
      </c>
      <c r="I64" s="1246"/>
      <c r="J64" s="1246"/>
    </row>
    <row r="65" spans="2:10">
      <c r="B65" s="676"/>
      <c r="I65" s="651"/>
      <c r="J65" s="651"/>
    </row>
    <row r="66" spans="2:10">
      <c r="B66" s="675"/>
      <c r="C66" s="423" t="s">
        <v>475</v>
      </c>
      <c r="I66" s="651">
        <f>+I77-I74-I72-I70-I68</f>
        <v>13445195.85</v>
      </c>
      <c r="J66" s="651">
        <f>+J77-J74-J72-J70-J68</f>
        <v>10752307.459999999</v>
      </c>
    </row>
    <row r="67" spans="2:10">
      <c r="B67" s="675"/>
      <c r="D67" s="425"/>
      <c r="I67" s="651"/>
      <c r="J67" s="651"/>
    </row>
    <row r="68" spans="2:10">
      <c r="B68" s="675"/>
      <c r="C68" s="423" t="s">
        <v>476</v>
      </c>
      <c r="D68" s="425"/>
      <c r="I68" s="651"/>
      <c r="J68" s="651"/>
    </row>
    <row r="69" spans="2:10">
      <c r="B69" s="675"/>
      <c r="C69" s="423"/>
      <c r="D69" s="425"/>
      <c r="I69" s="651"/>
      <c r="J69" s="651"/>
    </row>
    <row r="70" spans="2:10">
      <c r="B70" s="675"/>
      <c r="C70" s="423" t="s">
        <v>477</v>
      </c>
      <c r="D70" s="425"/>
      <c r="I70" s="651"/>
      <c r="J70" s="651"/>
    </row>
    <row r="71" spans="2:10">
      <c r="B71" s="675"/>
      <c r="C71" s="423"/>
      <c r="D71" s="425"/>
      <c r="I71" s="651"/>
      <c r="J71" s="651"/>
    </row>
    <row r="72" spans="2:10">
      <c r="B72" s="675"/>
      <c r="C72" s="423" t="s">
        <v>478</v>
      </c>
      <c r="D72" s="425"/>
      <c r="I72" s="651"/>
      <c r="J72" s="651"/>
    </row>
    <row r="73" spans="2:10">
      <c r="B73" s="675"/>
      <c r="C73" s="423"/>
      <c r="D73" s="425"/>
      <c r="I73" s="651"/>
      <c r="J73" s="651"/>
    </row>
    <row r="74" spans="2:10">
      <c r="B74" s="675"/>
      <c r="C74" s="423" t="s">
        <v>479</v>
      </c>
      <c r="E74" s="425"/>
      <c r="I74" s="651">
        <f>Résultat!H188</f>
        <v>-1979445.65</v>
      </c>
      <c r="J74" s="651">
        <v>2692888.39</v>
      </c>
    </row>
    <row r="75" spans="2:10">
      <c r="B75" s="675"/>
      <c r="D75" s="425"/>
      <c r="I75" s="651"/>
      <c r="J75" s="651"/>
    </row>
    <row r="76" spans="2:10" ht="14.45" customHeight="1">
      <c r="B76" s="1003" t="s">
        <v>480</v>
      </c>
      <c r="C76" s="1004"/>
      <c r="D76" s="1004"/>
      <c r="E76" s="1004"/>
      <c r="F76" s="1004"/>
      <c r="G76" s="1004"/>
      <c r="H76" s="1005"/>
      <c r="I76" s="906"/>
      <c r="J76" s="906"/>
    </row>
    <row r="77" spans="2:10">
      <c r="B77" s="675"/>
      <c r="D77" s="100" t="s">
        <v>481</v>
      </c>
      <c r="E77" s="425"/>
      <c r="I77" s="1247">
        <f>Inventaire!C7</f>
        <v>11465750.199999999</v>
      </c>
      <c r="J77" s="1247">
        <v>13445195.85</v>
      </c>
    </row>
    <row r="78" spans="2:10">
      <c r="B78" s="675"/>
      <c r="I78" s="651"/>
      <c r="J78" s="651"/>
    </row>
    <row r="79" spans="2:10">
      <c r="B79" s="676" t="s">
        <v>482</v>
      </c>
      <c r="C79" s="423"/>
      <c r="I79" s="650"/>
      <c r="J79" s="650"/>
    </row>
    <row r="80" spans="2:10">
      <c r="B80" s="676"/>
      <c r="C80" s="423"/>
      <c r="I80" s="651"/>
      <c r="J80" s="651"/>
    </row>
    <row r="81" spans="2:10">
      <c r="B81" s="676"/>
      <c r="C81" s="423" t="s">
        <v>483</v>
      </c>
      <c r="I81" s="651"/>
      <c r="J81" s="651"/>
    </row>
    <row r="82" spans="2:10">
      <c r="B82" s="676"/>
      <c r="C82" s="423"/>
      <c r="I82" s="651"/>
      <c r="J82" s="651"/>
    </row>
    <row r="83" spans="2:10">
      <c r="B83" s="676"/>
      <c r="C83" s="423" t="s">
        <v>484</v>
      </c>
      <c r="I83" s="651"/>
      <c r="J83" s="651"/>
    </row>
    <row r="84" spans="2:10">
      <c r="B84" s="676"/>
      <c r="C84" s="423"/>
      <c r="I84" s="651"/>
      <c r="J84" s="651"/>
    </row>
    <row r="85" spans="2:10">
      <c r="B85" s="676"/>
      <c r="C85" s="423" t="s">
        <v>485</v>
      </c>
      <c r="I85" s="651"/>
      <c r="J85" s="651"/>
    </row>
    <row r="86" spans="2:10">
      <c r="B86" s="676"/>
      <c r="C86" s="423"/>
      <c r="I86" s="651"/>
      <c r="J86" s="651"/>
    </row>
    <row r="87" spans="2:10" ht="15">
      <c r="B87" s="1003" t="s">
        <v>486</v>
      </c>
      <c r="C87" s="1004"/>
      <c r="D87" s="1004"/>
      <c r="E87" s="1004"/>
      <c r="F87" s="1004"/>
      <c r="G87" s="1004"/>
      <c r="H87" s="1005"/>
      <c r="I87" s="1246">
        <f>+I81+I83+I85</f>
        <v>0</v>
      </c>
      <c r="J87" s="1246">
        <f>+J81+J83+J85</f>
        <v>0</v>
      </c>
    </row>
    <row r="88" spans="2:10">
      <c r="B88" s="676"/>
      <c r="C88" s="423"/>
      <c r="I88" s="651"/>
      <c r="J88" s="651"/>
    </row>
    <row r="89" spans="2:10">
      <c r="B89" s="676" t="s">
        <v>487</v>
      </c>
      <c r="C89" s="423"/>
      <c r="I89" s="651"/>
      <c r="J89" s="651"/>
    </row>
    <row r="90" spans="2:10">
      <c r="B90" s="675"/>
      <c r="E90" s="425"/>
      <c r="I90" s="651"/>
      <c r="J90" s="651"/>
    </row>
    <row r="91" spans="2:10">
      <c r="B91" s="676"/>
      <c r="C91" s="423" t="s">
        <v>488</v>
      </c>
      <c r="E91" s="425"/>
      <c r="I91" s="650">
        <f>-Inventaire!D40</f>
        <v>10248</v>
      </c>
      <c r="J91" s="650">
        <v>15918</v>
      </c>
    </row>
    <row r="92" spans="2:10">
      <c r="B92" s="675"/>
      <c r="I92" s="651"/>
      <c r="J92" s="651"/>
    </row>
    <row r="93" spans="2:10">
      <c r="B93" s="676"/>
      <c r="C93" s="423" t="s">
        <v>489</v>
      </c>
      <c r="E93" s="425"/>
      <c r="I93" s="650"/>
      <c r="J93" s="650"/>
    </row>
    <row r="94" spans="2:10">
      <c r="B94" s="676"/>
      <c r="C94" s="423"/>
      <c r="E94" s="425"/>
      <c r="I94" s="650"/>
      <c r="J94" s="650"/>
    </row>
    <row r="95" spans="2:10" ht="15">
      <c r="B95" s="1003" t="s">
        <v>490</v>
      </c>
      <c r="C95" s="1004"/>
      <c r="D95" s="1004"/>
      <c r="E95" s="1004"/>
      <c r="F95" s="1004"/>
      <c r="G95" s="1004"/>
      <c r="H95" s="1005"/>
      <c r="I95" s="1247">
        <f>+I91+I93</f>
        <v>10248</v>
      </c>
      <c r="J95" s="1247">
        <f>+J91+J93</f>
        <v>15918</v>
      </c>
    </row>
    <row r="96" spans="2:10">
      <c r="B96" s="1248"/>
      <c r="C96" s="1249"/>
      <c r="D96" s="1249"/>
      <c r="E96" s="1250"/>
      <c r="F96" s="1249"/>
      <c r="G96" s="1249"/>
      <c r="H96" s="1249"/>
      <c r="I96" s="906"/>
      <c r="J96" s="906"/>
    </row>
    <row r="97" spans="2:10" ht="14.45" customHeight="1">
      <c r="B97" s="1003" t="s">
        <v>491</v>
      </c>
      <c r="C97" s="1004"/>
      <c r="D97" s="1004"/>
      <c r="E97" s="1004"/>
      <c r="F97" s="1004"/>
      <c r="G97" s="1004"/>
      <c r="H97" s="1005"/>
      <c r="I97" s="1255">
        <f>+I77+I87+I95</f>
        <v>11475998.199999999</v>
      </c>
      <c r="J97" s="1255">
        <f>+J77+J87+J95</f>
        <v>13461113.85</v>
      </c>
    </row>
    <row r="98" spans="2:10">
      <c r="B98" s="427" t="s">
        <v>492</v>
      </c>
      <c r="C98" s="429"/>
      <c r="D98" s="427"/>
      <c r="E98" s="427"/>
      <c r="F98" s="427"/>
      <c r="G98" s="427"/>
      <c r="H98" s="427"/>
    </row>
    <row r="99" spans="2:10" ht="13.5" thickBot="1">
      <c r="I99" s="430">
        <f>I60-I97</f>
        <v>0</v>
      </c>
      <c r="J99" s="430">
        <f>J60-J97</f>
        <v>0</v>
      </c>
    </row>
    <row r="100" spans="2:10" ht="13.5" thickBot="1">
      <c r="B100" s="1006"/>
      <c r="C100" s="1006"/>
      <c r="D100" s="1006"/>
      <c r="E100" s="1006"/>
      <c r="F100" s="431"/>
      <c r="G100" s="100" t="s">
        <v>140</v>
      </c>
      <c r="I100" s="432" t="str">
        <f>IF(ABS((I97-I60))&lt;0.01,"OK","ANOMALIE")</f>
        <v>OK</v>
      </c>
      <c r="J100" s="432" t="str">
        <f>IF(ABS((J60-J97))&lt;0.01,"OK","ANOMALIE")</f>
        <v>OK</v>
      </c>
    </row>
    <row r="101" spans="2:10">
      <c r="B101" s="1006"/>
      <c r="C101" s="1006"/>
      <c r="D101" s="1006"/>
      <c r="E101" s="1006"/>
      <c r="F101" s="433"/>
      <c r="G101" s="419"/>
      <c r="I101" s="434"/>
      <c r="J101" s="435"/>
    </row>
  </sheetData>
  <mergeCells count="11">
    <mergeCell ref="B87:H87"/>
    <mergeCell ref="B95:H95"/>
    <mergeCell ref="B97:H97"/>
    <mergeCell ref="B100:E100"/>
    <mergeCell ref="B101:E101"/>
    <mergeCell ref="B76:H76"/>
    <mergeCell ref="B4:J4"/>
    <mergeCell ref="B52:H52"/>
    <mergeCell ref="B58:H58"/>
    <mergeCell ref="B60:H60"/>
    <mergeCell ref="B62:J62"/>
  </mergeCells>
  <pageMargins left="0.7" right="0.7" top="0.75" bottom="0.75" header="0.3" footer="0.3"/>
  <pageSetup paperSize="9" scale="66" orientation="portrait" horizontalDpi="4294967293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5B0E-D8FD-4D1A-B9DC-5CB8F4B329F8}">
  <sheetPr>
    <pageSetUpPr fitToPage="1"/>
  </sheetPr>
  <dimension ref="A1:K204"/>
  <sheetViews>
    <sheetView view="pageBreakPreview" topLeftCell="A145" zoomScaleNormal="100" zoomScaleSheetLayoutView="100" workbookViewId="0">
      <selection activeCell="K199" sqref="K199"/>
    </sheetView>
  </sheetViews>
  <sheetFormatPr defaultColWidth="11.42578125" defaultRowHeight="12.75"/>
  <cols>
    <col min="1" max="1" width="1.140625" style="421" customWidth="1"/>
    <col min="2" max="2" width="11.140625" style="439" customWidth="1"/>
    <col min="3" max="3" width="24.140625" style="439" customWidth="1"/>
    <col min="4" max="4" width="17.140625" style="439" customWidth="1"/>
    <col min="5" max="5" width="11.42578125" style="439"/>
    <col min="6" max="6" width="14" style="439" customWidth="1"/>
    <col min="7" max="7" width="17.140625" style="439" bestFit="1" customWidth="1"/>
    <col min="8" max="9" width="14.85546875" style="439" customWidth="1"/>
    <col min="10" max="10" width="1.140625" style="421" customWidth="1"/>
    <col min="11" max="11" width="36.85546875" style="421" customWidth="1"/>
    <col min="12" max="16384" width="11.42578125" style="421"/>
  </cols>
  <sheetData>
    <row r="1" spans="2:11" ht="15">
      <c r="B1" s="1010" t="str">
        <f>'Créances_&amp;_dettes'!B1</f>
        <v>SANCY - SLP</v>
      </c>
      <c r="C1" s="1010"/>
      <c r="D1" s="1010"/>
      <c r="E1" s="436" t="s">
        <v>493</v>
      </c>
      <c r="F1" s="436"/>
      <c r="G1" s="437">
        <f>Sommaire!C1</f>
        <v>46022</v>
      </c>
      <c r="H1" s="438"/>
      <c r="I1" s="438"/>
    </row>
    <row r="2" spans="2:11" s="440" customFormat="1" ht="21" customHeight="1">
      <c r="B2" s="439"/>
      <c r="C2" s="439"/>
      <c r="D2" s="439"/>
      <c r="E2" s="439"/>
      <c r="F2" s="439"/>
      <c r="G2" s="439"/>
      <c r="H2" s="439"/>
      <c r="I2" s="439"/>
    </row>
    <row r="3" spans="2:11" s="440" customFormat="1" ht="14.25">
      <c r="B3" s="1008" t="s">
        <v>494</v>
      </c>
      <c r="C3" s="1008"/>
      <c r="D3" s="1008"/>
      <c r="E3" s="1008"/>
      <c r="F3" s="1008"/>
      <c r="G3" s="1008"/>
      <c r="H3" s="1008"/>
      <c r="I3" s="1008"/>
    </row>
    <row r="4" spans="2:11" ht="15">
      <c r="B4" s="1011"/>
      <c r="C4" s="1011"/>
      <c r="D4" s="1011"/>
      <c r="E4" s="1011"/>
      <c r="F4" s="1011"/>
      <c r="G4" s="1011"/>
      <c r="H4" s="1011"/>
      <c r="I4" s="1011"/>
      <c r="K4" s="615" t="s">
        <v>440</v>
      </c>
    </row>
    <row r="5" spans="2:11">
      <c r="B5" s="1011" t="s">
        <v>495</v>
      </c>
      <c r="C5" s="1011"/>
      <c r="D5" s="1011"/>
      <c r="E5" s="1011"/>
      <c r="F5" s="1011"/>
      <c r="G5" s="1011"/>
      <c r="H5" s="1011"/>
      <c r="I5" s="1011"/>
    </row>
    <row r="6" spans="2:11">
      <c r="B6" s="443" t="s">
        <v>23</v>
      </c>
      <c r="C6" s="442"/>
      <c r="D6" s="442"/>
      <c r="E6" s="442"/>
      <c r="G6" s="442"/>
      <c r="H6" s="442"/>
      <c r="I6" s="442"/>
    </row>
    <row r="7" spans="2:11">
      <c r="B7" s="442" t="s">
        <v>496</v>
      </c>
      <c r="D7" s="444" t="s">
        <v>497</v>
      </c>
      <c r="E7" s="442"/>
      <c r="G7" s="442"/>
      <c r="H7" s="442"/>
      <c r="I7" s="442"/>
    </row>
    <row r="8" spans="2:11" ht="13.5" thickBot="1">
      <c r="B8" s="442"/>
      <c r="D8" s="444"/>
      <c r="E8" s="442"/>
      <c r="G8" s="442"/>
      <c r="H8" s="442"/>
      <c r="I8" s="442" t="s">
        <v>498</v>
      </c>
    </row>
    <row r="9" spans="2:11" s="445" customFormat="1">
      <c r="B9" s="1016" t="s">
        <v>499</v>
      </c>
      <c r="C9" s="1016"/>
      <c r="D9" s="1016"/>
      <c r="E9" s="1016"/>
      <c r="F9" s="1018" t="str">
        <f>Sommaire!B32</f>
        <v>Euro</v>
      </c>
      <c r="G9" s="442"/>
      <c r="H9" s="1012">
        <f>G1</f>
        <v>46022</v>
      </c>
      <c r="I9" s="1012">
        <v>45657</v>
      </c>
    </row>
    <row r="10" spans="2:11" s="445" customFormat="1" ht="13.5" thickBot="1">
      <c r="B10" s="1017"/>
      <c r="C10" s="1017"/>
      <c r="D10" s="1017"/>
      <c r="E10" s="1017"/>
      <c r="F10" s="1019"/>
      <c r="G10" s="446"/>
      <c r="H10" s="1013"/>
      <c r="I10" s="1013"/>
    </row>
    <row r="11" spans="2:11" s="445" customFormat="1">
      <c r="B11" s="447"/>
      <c r="C11" s="439"/>
      <c r="D11" s="439"/>
      <c r="E11" s="439"/>
      <c r="F11" s="439"/>
      <c r="G11" s="448"/>
      <c r="H11" s="449"/>
      <c r="I11" s="449"/>
    </row>
    <row r="12" spans="2:11" s="445" customFormat="1">
      <c r="B12" s="450" t="s">
        <v>500</v>
      </c>
      <c r="C12" s="439"/>
      <c r="D12" s="439"/>
      <c r="E12" s="439"/>
      <c r="F12" s="439"/>
      <c r="G12" s="448"/>
      <c r="H12" s="449"/>
      <c r="I12" s="449"/>
    </row>
    <row r="13" spans="2:11" s="445" customFormat="1">
      <c r="B13" s="447"/>
      <c r="C13" s="439"/>
      <c r="D13" s="439"/>
      <c r="E13" s="439"/>
      <c r="F13" s="439"/>
      <c r="G13" s="448"/>
      <c r="H13" s="449"/>
      <c r="I13" s="449"/>
    </row>
    <row r="14" spans="2:11" s="445" customFormat="1">
      <c r="B14" s="450" t="s">
        <v>501</v>
      </c>
      <c r="C14" s="439"/>
      <c r="D14" s="439"/>
      <c r="E14" s="439"/>
      <c r="F14" s="439"/>
      <c r="G14" s="448"/>
      <c r="H14" s="451"/>
      <c r="I14" s="451"/>
    </row>
    <row r="15" spans="2:11" ht="15" customHeight="1">
      <c r="B15" s="447"/>
      <c r="G15" s="448"/>
      <c r="H15" s="451"/>
      <c r="I15" s="451"/>
    </row>
    <row r="16" spans="2:11">
      <c r="B16" s="447"/>
      <c r="C16" s="439" t="s">
        <v>502</v>
      </c>
      <c r="G16" s="448"/>
      <c r="H16" s="816"/>
      <c r="I16" s="452"/>
    </row>
    <row r="17" spans="2:11">
      <c r="B17" s="447"/>
      <c r="C17" s="439">
        <v>7000000</v>
      </c>
      <c r="D17" s="439" t="s">
        <v>503</v>
      </c>
      <c r="G17" s="448"/>
      <c r="H17" s="816">
        <f>SUMIF('Balance '!A:A,"700000*",'Balance '!F:F)-SUMIF('Balance '!A:A,"700000*",'Balance '!E:E)</f>
        <v>0</v>
      </c>
      <c r="I17" s="452"/>
      <c r="K17" s="453"/>
    </row>
    <row r="18" spans="2:11">
      <c r="B18" s="447"/>
      <c r="C18" s="439">
        <v>7011000</v>
      </c>
      <c r="D18" s="439" t="s">
        <v>504</v>
      </c>
      <c r="G18" s="448"/>
      <c r="H18" s="816">
        <f>SUMIF('Balance '!A:A,"701100*",'Balance '!F:F)-SUMIF('Balance '!A:A,"701100*",'Balance '!E:E)</f>
        <v>0</v>
      </c>
      <c r="I18" s="452"/>
      <c r="K18" s="453"/>
    </row>
    <row r="19" spans="2:11">
      <c r="B19" s="447"/>
      <c r="C19" s="439">
        <v>7012000</v>
      </c>
      <c r="D19" s="439" t="s">
        <v>505</v>
      </c>
      <c r="G19" s="448"/>
      <c r="H19" s="816">
        <f>SUMIF('Balance '!A:A,"701200*",'Balance '!F:F)-SUMIF('Balance '!A:A,"701200*",'Balance '!E:E)</f>
        <v>0</v>
      </c>
      <c r="I19" s="452"/>
      <c r="K19" s="453"/>
    </row>
    <row r="20" spans="2:11">
      <c r="B20" s="447"/>
      <c r="G20" s="448"/>
      <c r="H20" s="816"/>
      <c r="I20" s="452"/>
      <c r="K20" s="453"/>
    </row>
    <row r="21" spans="2:11">
      <c r="B21" s="447"/>
      <c r="C21" s="439" t="s">
        <v>506</v>
      </c>
      <c r="G21" s="448"/>
      <c r="H21" s="816"/>
      <c r="I21" s="452"/>
      <c r="K21" s="453"/>
    </row>
    <row r="22" spans="2:11">
      <c r="B22" s="447"/>
      <c r="C22" s="439">
        <v>70210000</v>
      </c>
      <c r="D22" s="439" t="s">
        <v>507</v>
      </c>
      <c r="G22" s="448"/>
      <c r="H22" s="816">
        <f>SUMIF('Balance '!A:A,"702100*",'Balance '!F:F)-SUMIF('Balance '!A:A,"702100*",'Balance '!E:E)</f>
        <v>0</v>
      </c>
      <c r="I22" s="452"/>
      <c r="K22" s="453"/>
    </row>
    <row r="23" spans="2:11">
      <c r="B23" s="447"/>
      <c r="C23" s="439">
        <v>70220000</v>
      </c>
      <c r="D23" s="439" t="s">
        <v>508</v>
      </c>
      <c r="G23" s="448"/>
      <c r="H23" s="816">
        <f>SUMIF('Balance '!A:A,"702200*",'Balance '!F:F)-SUMIF('Balance '!A:A,"702200*",'Balance '!E:E)</f>
        <v>0</v>
      </c>
      <c r="I23" s="452"/>
      <c r="K23" s="453"/>
    </row>
    <row r="24" spans="2:11">
      <c r="B24" s="447"/>
      <c r="C24" s="439">
        <v>70230000</v>
      </c>
      <c r="D24" s="439" t="s">
        <v>509</v>
      </c>
      <c r="G24" s="448"/>
      <c r="H24" s="816">
        <f>SUMIF('Balance '!A:A,"702300*",'Balance '!F:F)-SUMIF('Balance '!A:A,"702300*",'Balance '!E:E)</f>
        <v>0</v>
      </c>
      <c r="I24" s="452"/>
      <c r="K24" s="453"/>
    </row>
    <row r="25" spans="2:11">
      <c r="B25" s="447"/>
      <c r="C25" s="454"/>
      <c r="G25" s="448"/>
      <c r="H25" s="816"/>
      <c r="I25" s="452"/>
      <c r="K25" s="453"/>
    </row>
    <row r="26" spans="2:11">
      <c r="B26" s="447"/>
      <c r="C26" s="439" t="s">
        <v>510</v>
      </c>
      <c r="G26" s="448"/>
      <c r="H26" s="816"/>
      <c r="I26" s="452"/>
      <c r="K26" s="453"/>
    </row>
    <row r="27" spans="2:11">
      <c r="B27" s="447"/>
      <c r="C27" s="439">
        <v>70300000</v>
      </c>
      <c r="D27" s="439" t="s">
        <v>511</v>
      </c>
      <c r="G27" s="448"/>
      <c r="H27" s="816">
        <f>SUMIF('Balance '!A:A,"703000*",'Balance '!F:F)-SUMIF('Balance '!A:A,"703000*",'Balance '!E:E)</f>
        <v>0</v>
      </c>
      <c r="I27" s="452"/>
      <c r="K27" s="453"/>
    </row>
    <row r="28" spans="2:11">
      <c r="B28" s="447"/>
      <c r="C28" s="454"/>
      <c r="G28" s="448"/>
      <c r="H28" s="816"/>
      <c r="I28" s="452"/>
      <c r="K28" s="453"/>
    </row>
    <row r="29" spans="2:11">
      <c r="B29" s="447"/>
      <c r="C29" s="439" t="s">
        <v>512</v>
      </c>
      <c r="E29" s="421"/>
      <c r="F29" s="421"/>
      <c r="G29" s="448"/>
      <c r="H29" s="816"/>
      <c r="I29" s="452"/>
      <c r="K29" s="453"/>
    </row>
    <row r="30" spans="2:11">
      <c r="B30" s="447"/>
      <c r="C30" s="439">
        <v>7041000</v>
      </c>
      <c r="D30" s="439" t="s">
        <v>513</v>
      </c>
      <c r="G30" s="448"/>
      <c r="H30" s="816">
        <f>SUMIF('Balance '!A:A,"704100*",'Balance '!F:F)-SUMIF('Balance '!A:A,"704100*",'Balance '!E:E)</f>
        <v>0</v>
      </c>
      <c r="I30" s="452"/>
      <c r="K30" s="453"/>
    </row>
    <row r="31" spans="2:11">
      <c r="B31" s="447"/>
      <c r="C31" s="439">
        <v>7042000</v>
      </c>
      <c r="D31" s="439" t="s">
        <v>514</v>
      </c>
      <c r="G31" s="448"/>
      <c r="H31" s="816">
        <f>SUMIF('Balance '!A:A,"704200*",'Balance '!F:F)-SUMIF('Balance '!A:A,"704200*",'Balance '!E:E)</f>
        <v>0</v>
      </c>
      <c r="I31" s="452"/>
      <c r="K31" s="453"/>
    </row>
    <row r="32" spans="2:11">
      <c r="B32" s="447"/>
      <c r="G32" s="448"/>
      <c r="H32" s="816"/>
      <c r="I32" s="452"/>
      <c r="K32" s="453"/>
    </row>
    <row r="33" spans="2:11">
      <c r="B33" s="447"/>
      <c r="C33" s="439" t="s">
        <v>515</v>
      </c>
      <c r="G33" s="448"/>
      <c r="H33" s="816"/>
      <c r="I33" s="452"/>
      <c r="K33" s="453"/>
    </row>
    <row r="34" spans="2:11">
      <c r="B34" s="447"/>
      <c r="C34" s="439">
        <v>70500000</v>
      </c>
      <c r="D34" s="439" t="s">
        <v>516</v>
      </c>
      <c r="G34" s="448"/>
      <c r="H34" s="816">
        <f>SUMIF('Balance '!A:A,"705000*",'Balance '!F:F)-SUMIF('Balance '!A:A,"705000*",'Balance '!E:E)</f>
        <v>0</v>
      </c>
      <c r="I34" s="452"/>
      <c r="K34" s="453"/>
    </row>
    <row r="35" spans="2:11">
      <c r="B35" s="447"/>
      <c r="G35" s="448"/>
      <c r="H35" s="816"/>
      <c r="I35" s="452"/>
      <c r="K35" s="453"/>
    </row>
    <row r="36" spans="2:11">
      <c r="B36" s="447"/>
      <c r="C36" s="439" t="s">
        <v>517</v>
      </c>
      <c r="G36" s="448"/>
      <c r="H36" s="816"/>
      <c r="I36" s="452"/>
      <c r="K36" s="453"/>
    </row>
    <row r="37" spans="2:11">
      <c r="B37" s="447"/>
      <c r="C37" s="439">
        <v>7066000</v>
      </c>
      <c r="D37" s="439" t="s">
        <v>518</v>
      </c>
      <c r="G37" s="448"/>
      <c r="H37" s="816">
        <f>SUMIF('Balance '!A:A,"706600*",'Balance '!F:F)-SUMIF('Balance '!A:A,"706600*",'Balance '!E:E)</f>
        <v>0</v>
      </c>
      <c r="I37" s="452"/>
      <c r="K37" s="453"/>
    </row>
    <row r="38" spans="2:11">
      <c r="B38" s="447"/>
      <c r="G38" s="448"/>
      <c r="H38" s="816"/>
      <c r="I38" s="452"/>
      <c r="K38" s="453"/>
    </row>
    <row r="39" spans="2:11">
      <c r="B39" s="447"/>
      <c r="C39" s="439" t="s">
        <v>519</v>
      </c>
      <c r="G39" s="448"/>
      <c r="H39" s="816"/>
      <c r="I39" s="452"/>
      <c r="K39" s="453"/>
    </row>
    <row r="40" spans="2:11">
      <c r="B40" s="447"/>
      <c r="C40" s="439">
        <v>70710000</v>
      </c>
      <c r="D40" s="439" t="s">
        <v>520</v>
      </c>
      <c r="G40" s="448"/>
      <c r="H40" s="816">
        <f>SUMIF('Balance '!A:A,"707100*",'Balance '!F:F)-SUMIF('Balance '!A:A,"707100*",'Balance '!E:E)</f>
        <v>0</v>
      </c>
      <c r="I40" s="452"/>
      <c r="K40" s="453"/>
    </row>
    <row r="41" spans="2:11">
      <c r="B41" s="447"/>
      <c r="C41" s="439">
        <v>70760000</v>
      </c>
      <c r="D41" s="439" t="s">
        <v>521</v>
      </c>
      <c r="G41" s="448"/>
      <c r="H41" s="816">
        <f>SUMIF('Balance '!A:A,"707600*",'Balance '!F:F)-SUMIF('Balance '!A:A,"707600*",'Balance '!E:E)</f>
        <v>0</v>
      </c>
      <c r="I41" s="452"/>
      <c r="K41" s="453"/>
    </row>
    <row r="42" spans="2:11">
      <c r="B42" s="447"/>
      <c r="C42" s="439">
        <v>70770000</v>
      </c>
      <c r="D42" s="439" t="s">
        <v>522</v>
      </c>
      <c r="G42" s="448"/>
      <c r="H42" s="816">
        <f>SUMIF('Balance '!A:A,"707700*",'Balance '!F:F)-SUMIF('Balance '!A:A,"707700*",'Balance '!E:E)</f>
        <v>0</v>
      </c>
      <c r="I42" s="452"/>
      <c r="K42" s="453"/>
    </row>
    <row r="43" spans="2:11">
      <c r="B43" s="447"/>
      <c r="G43" s="448"/>
      <c r="H43" s="816"/>
      <c r="I43" s="452"/>
      <c r="K43" s="453"/>
    </row>
    <row r="44" spans="2:11">
      <c r="B44" s="447"/>
      <c r="C44" s="439" t="s">
        <v>523</v>
      </c>
      <c r="G44" s="448"/>
      <c r="H44" s="816"/>
      <c r="I44" s="452"/>
      <c r="K44" s="453"/>
    </row>
    <row r="45" spans="2:11">
      <c r="B45" s="447"/>
      <c r="C45" s="455">
        <v>7083000</v>
      </c>
      <c r="D45" s="439" t="s">
        <v>524</v>
      </c>
      <c r="G45" s="448"/>
      <c r="H45" s="816">
        <f>SUMIF('Balance '!A:A,"708300*",'Balance '!F:F)-SUMIF('Balance '!A:A,"708300*",'Balance '!E:E)</f>
        <v>0</v>
      </c>
      <c r="I45" s="452">
        <v>2939.06</v>
      </c>
      <c r="K45" s="453"/>
    </row>
    <row r="46" spans="2:11">
      <c r="B46" s="447"/>
      <c r="G46" s="448"/>
      <c r="H46" s="816"/>
      <c r="I46" s="456"/>
      <c r="K46" s="453"/>
    </row>
    <row r="47" spans="2:11">
      <c r="B47" s="447"/>
      <c r="G47" s="448"/>
      <c r="H47" s="816"/>
      <c r="I47" s="456"/>
      <c r="K47" s="453"/>
    </row>
    <row r="48" spans="2:11" ht="14.25" customHeight="1">
      <c r="B48" s="447"/>
      <c r="G48" s="448"/>
      <c r="H48" s="451"/>
      <c r="I48" s="451"/>
      <c r="K48" s="453"/>
    </row>
    <row r="49" spans="2:11" ht="14.25" customHeight="1">
      <c r="B49" s="1007" t="s">
        <v>525</v>
      </c>
      <c r="C49" s="1008"/>
      <c r="D49" s="1008"/>
      <c r="E49" s="1008"/>
      <c r="F49" s="1008"/>
      <c r="G49" s="1009"/>
      <c r="H49" s="817">
        <f>+SUM(H16:H47)</f>
        <v>0</v>
      </c>
      <c r="I49" s="459">
        <f>SUM(I16:I46)</f>
        <v>2939.06</v>
      </c>
      <c r="K49" s="453"/>
    </row>
    <row r="50" spans="2:11" ht="14.25" customHeight="1">
      <c r="B50" s="457"/>
      <c r="C50" s="441"/>
      <c r="D50" s="441"/>
      <c r="E50" s="441"/>
      <c r="F50" s="441"/>
      <c r="G50" s="458"/>
      <c r="H50" s="451"/>
      <c r="I50" s="451"/>
      <c r="K50" s="453"/>
    </row>
    <row r="51" spans="2:11">
      <c r="B51" s="1014" t="s">
        <v>526</v>
      </c>
      <c r="C51" s="1015"/>
      <c r="D51" s="1015"/>
      <c r="E51" s="1015"/>
      <c r="F51" s="1015"/>
      <c r="G51" s="448"/>
      <c r="H51" s="451"/>
      <c r="I51" s="451"/>
      <c r="K51" s="453"/>
    </row>
    <row r="52" spans="2:11">
      <c r="B52" s="460"/>
      <c r="C52" s="461"/>
      <c r="D52" s="461"/>
      <c r="E52" s="461"/>
      <c r="F52" s="461"/>
      <c r="G52" s="448"/>
      <c r="H52" s="451"/>
      <c r="I52" s="451"/>
      <c r="K52" s="453"/>
    </row>
    <row r="53" spans="2:11">
      <c r="B53" s="447"/>
      <c r="C53" s="439" t="s">
        <v>527</v>
      </c>
      <c r="G53" s="448"/>
      <c r="H53" s="451"/>
      <c r="I53" s="456"/>
      <c r="K53" s="453"/>
    </row>
    <row r="54" spans="2:11">
      <c r="B54" s="447"/>
      <c r="C54" s="439">
        <v>6031000</v>
      </c>
      <c r="D54" s="439" t="s">
        <v>513</v>
      </c>
      <c r="G54" s="448"/>
      <c r="H54" s="816">
        <f>SUMIF('Balance '!A:A,"603100*",'Balance '!E:E)-SUMIF('Balance '!A:A,"603100*",'Balance '!F:F)</f>
        <v>0</v>
      </c>
      <c r="I54" s="456"/>
      <c r="K54" s="453"/>
    </row>
    <row r="55" spans="2:11">
      <c r="B55" s="447"/>
      <c r="C55" s="439">
        <v>6032000</v>
      </c>
      <c r="D55" s="439" t="s">
        <v>514</v>
      </c>
      <c r="G55" s="448"/>
      <c r="H55" s="816">
        <f>SUMIF('Balance '!A:A,"603200*",'Balance '!E:E)-SUMIF('Balance '!A:A,"603200*",'Balance '!F:F)</f>
        <v>0</v>
      </c>
      <c r="I55" s="456"/>
      <c r="K55" s="453"/>
    </row>
    <row r="56" spans="2:11">
      <c r="B56" s="447"/>
      <c r="C56" s="421"/>
      <c r="G56" s="448"/>
      <c r="H56" s="816"/>
      <c r="I56" s="452"/>
      <c r="K56" s="453"/>
    </row>
    <row r="57" spans="2:11">
      <c r="B57" s="447"/>
      <c r="C57" s="439" t="s">
        <v>528</v>
      </c>
      <c r="D57" s="421"/>
      <c r="G57" s="448"/>
      <c r="H57" s="816"/>
      <c r="I57" s="452"/>
      <c r="K57" s="453"/>
    </row>
    <row r="58" spans="2:11">
      <c r="B58" s="447"/>
      <c r="C58" s="439">
        <v>6050000</v>
      </c>
      <c r="D58" s="439" t="s">
        <v>528</v>
      </c>
      <c r="G58" s="448"/>
      <c r="H58" s="816">
        <f>SUMIF('Balance '!A:A,"605000*",'Balance '!E:E)-SUMIF('Balance '!A:A,"605000*",'Balance '!F:F)</f>
        <v>0</v>
      </c>
      <c r="I58" s="452"/>
      <c r="K58" s="453"/>
    </row>
    <row r="59" spans="2:11">
      <c r="B59" s="447"/>
      <c r="C59" s="439" t="s">
        <v>529</v>
      </c>
      <c r="D59" s="421"/>
      <c r="E59" s="421"/>
      <c r="G59" s="448"/>
      <c r="H59" s="816"/>
      <c r="I59" s="452"/>
      <c r="K59" s="453"/>
    </row>
    <row r="60" spans="2:11">
      <c r="B60" s="447"/>
      <c r="C60" s="455">
        <v>6083000</v>
      </c>
      <c r="D60" s="439" t="s">
        <v>403</v>
      </c>
      <c r="G60" s="448"/>
      <c r="H60" s="816">
        <f>SUMIF('Balance '!A:A,"608300*",'Balance '!E:E)-SUMIF('Balance '!A:A,"608300*",'Balance '!F:F)</f>
        <v>0</v>
      </c>
      <c r="I60" s="452"/>
      <c r="K60" s="453"/>
    </row>
    <row r="61" spans="2:11">
      <c r="B61" s="447"/>
      <c r="C61" s="421"/>
      <c r="D61" s="421"/>
      <c r="G61" s="448"/>
      <c r="H61" s="451"/>
      <c r="I61" s="451"/>
      <c r="K61" s="453"/>
    </row>
    <row r="62" spans="2:11" ht="15" customHeight="1">
      <c r="B62" s="1007" t="s">
        <v>530</v>
      </c>
      <c r="C62" s="1008"/>
      <c r="D62" s="1008"/>
      <c r="E62" s="1008"/>
      <c r="F62" s="1008"/>
      <c r="G62" s="1009"/>
      <c r="H62" s="817">
        <f>SUM(H53:H59)</f>
        <v>0</v>
      </c>
      <c r="I62" s="459">
        <f>SUM(I53:I59)</f>
        <v>0</v>
      </c>
      <c r="K62" s="453"/>
    </row>
    <row r="63" spans="2:11" ht="15" customHeight="1" thickBot="1">
      <c r="B63" s="447"/>
      <c r="G63" s="448"/>
      <c r="H63" s="818"/>
      <c r="I63" s="451"/>
      <c r="K63" s="453"/>
    </row>
    <row r="64" spans="2:11" ht="15" customHeight="1" thickBot="1">
      <c r="B64" s="450" t="s">
        <v>531</v>
      </c>
      <c r="G64" s="448"/>
      <c r="H64" s="819">
        <f>H49-H62</f>
        <v>0</v>
      </c>
      <c r="I64" s="462">
        <f>I49-I62</f>
        <v>2939.06</v>
      </c>
      <c r="K64" s="453"/>
    </row>
    <row r="65" spans="2:11" ht="15" customHeight="1">
      <c r="B65" s="450"/>
      <c r="G65" s="448"/>
      <c r="H65" s="451"/>
      <c r="I65" s="451"/>
      <c r="K65" s="453"/>
    </row>
    <row r="66" spans="2:11" ht="15" customHeight="1">
      <c r="B66" s="1014" t="s">
        <v>532</v>
      </c>
      <c r="C66" s="1015"/>
      <c r="D66" s="1015"/>
      <c r="E66" s="1015"/>
      <c r="F66" s="1015"/>
      <c r="G66" s="448"/>
      <c r="H66" s="451"/>
      <c r="I66" s="451"/>
      <c r="K66" s="453"/>
    </row>
    <row r="67" spans="2:11" ht="15" customHeight="1">
      <c r="B67" s="450"/>
      <c r="G67" s="448"/>
      <c r="H67" s="817">
        <f>+SUM(H68:H71)</f>
        <v>0</v>
      </c>
      <c r="I67" s="459">
        <f>+SUM(I68:I71)</f>
        <v>0</v>
      </c>
      <c r="K67" s="453"/>
    </row>
    <row r="68" spans="2:11" ht="15" customHeight="1">
      <c r="B68" s="450"/>
      <c r="C68" s="439">
        <v>7110000</v>
      </c>
      <c r="D68" s="439" t="s">
        <v>533</v>
      </c>
      <c r="G68" s="448"/>
      <c r="H68" s="816">
        <f>SUMIF('Balance '!A:A,"711000*",'Balance '!F:F)-SUMIF('Balance '!A:A,"711000*",'Balance '!E:E)</f>
        <v>0</v>
      </c>
      <c r="I68" s="452"/>
      <c r="K68" s="453"/>
    </row>
    <row r="69" spans="2:11" ht="15" customHeight="1">
      <c r="B69" s="450"/>
      <c r="C69" s="439">
        <v>7200000</v>
      </c>
      <c r="D69" s="439" t="s">
        <v>534</v>
      </c>
      <c r="G69" s="448"/>
      <c r="H69" s="816">
        <f>SUMIF('Balance '!A:A,"720000*",'Balance '!F:F)-SUMIF('Balance '!A:A,"720000*",'Balance '!E:E)</f>
        <v>0</v>
      </c>
      <c r="I69" s="452"/>
      <c r="K69" s="453"/>
    </row>
    <row r="70" spans="2:11" ht="15" customHeight="1">
      <c r="B70" s="450"/>
      <c r="C70" s="439">
        <v>7210000</v>
      </c>
      <c r="D70" s="439" t="s">
        <v>535</v>
      </c>
      <c r="G70" s="448"/>
      <c r="H70" s="816">
        <f>SUMIF('Balance '!A:A,"721000*",'Balance '!F:F)-SUMIF('Balance '!A:A,"721000*",'Balance '!E:E)</f>
        <v>0</v>
      </c>
      <c r="I70" s="452"/>
      <c r="K70" s="453"/>
    </row>
    <row r="71" spans="2:11" ht="15" customHeight="1">
      <c r="B71" s="450"/>
      <c r="C71" s="439">
        <v>7240000</v>
      </c>
      <c r="D71" s="439" t="s">
        <v>536</v>
      </c>
      <c r="G71" s="448"/>
      <c r="H71" s="816">
        <f>SUMIF('Balance '!A:A,"724000*",'Balance '!F:F)-SUMIF('Balance '!A:A,"724000*",'Balance '!E:E)</f>
        <v>0</v>
      </c>
      <c r="I71" s="452"/>
      <c r="K71" s="453"/>
    </row>
    <row r="72" spans="2:11" ht="15" customHeight="1">
      <c r="B72" s="450"/>
      <c r="G72" s="448"/>
      <c r="H72" s="451"/>
      <c r="I72" s="451"/>
      <c r="K72" s="453"/>
    </row>
    <row r="73" spans="2:11" ht="15" customHeight="1">
      <c r="B73" s="1014" t="s">
        <v>537</v>
      </c>
      <c r="C73" s="1015"/>
      <c r="D73" s="1015"/>
      <c r="E73" s="1015"/>
      <c r="F73" s="1015"/>
      <c r="G73" s="448"/>
      <c r="H73" s="820">
        <f>+SUM(H75:H90)</f>
        <v>25693.920000000002</v>
      </c>
      <c r="I73" s="459">
        <f>+SUM(I75:I90)</f>
        <v>13924.51</v>
      </c>
      <c r="K73" s="453"/>
    </row>
    <row r="74" spans="2:11" ht="15" customHeight="1">
      <c r="B74" s="450"/>
      <c r="G74" s="448"/>
      <c r="H74" s="463"/>
      <c r="I74" s="463"/>
      <c r="K74" s="453"/>
    </row>
    <row r="75" spans="2:11" ht="15" customHeight="1">
      <c r="B75" s="450"/>
      <c r="C75" s="455">
        <v>6111000</v>
      </c>
      <c r="D75" s="439" t="s">
        <v>538</v>
      </c>
      <c r="G75" s="448"/>
      <c r="H75" s="816">
        <f>SUMIF('Balance '!A:A,"611100*",'Balance '!E:E)-SUMIF('Balance '!A:A,"611100*",'Balance '!F:F)</f>
        <v>0</v>
      </c>
      <c r="I75" s="452"/>
      <c r="K75" s="453"/>
    </row>
    <row r="76" spans="2:11" ht="15" customHeight="1">
      <c r="B76" s="450"/>
      <c r="C76" s="455">
        <v>6112100</v>
      </c>
      <c r="D76" s="439" t="s">
        <v>539</v>
      </c>
      <c r="G76" s="448"/>
      <c r="H76" s="816">
        <f>SUMIF('Balance '!A:A,"6112100*",'Balance '!E:E)-SUMIF('Balance '!A:A,"6112100*",'Balance '!F:F)</f>
        <v>4392</v>
      </c>
      <c r="I76" s="452">
        <v>2562</v>
      </c>
      <c r="K76" s="453"/>
    </row>
    <row r="77" spans="2:11" ht="15" customHeight="1">
      <c r="B77" s="450"/>
      <c r="C77" s="455">
        <v>6112200</v>
      </c>
      <c r="D77" s="439" t="s">
        <v>540</v>
      </c>
      <c r="G77" s="448"/>
      <c r="H77" s="816">
        <f>SUMIF('Balance '!A:A,"6112200*",'Balance '!E:E)-SUMIF('Balance '!A:A,"6112200*",'Balance '!F:F)</f>
        <v>6567</v>
      </c>
      <c r="I77" s="452">
        <v>-226</v>
      </c>
      <c r="K77" s="453"/>
    </row>
    <row r="78" spans="2:11" ht="15" customHeight="1">
      <c r="B78" s="450"/>
      <c r="C78" s="455">
        <v>6112300</v>
      </c>
      <c r="D78" s="439" t="s">
        <v>15</v>
      </c>
      <c r="G78" s="448"/>
      <c r="H78" s="816">
        <f>SUMIF('Balance '!A:A,"6112300*",'Balance '!E:E)-SUMIF('Balance '!A:A,"6112300*",'Balance '!F:F)</f>
        <v>13440</v>
      </c>
      <c r="I78" s="452">
        <v>10239.780000000001</v>
      </c>
      <c r="K78" s="453"/>
    </row>
    <row r="79" spans="2:11" ht="15" customHeight="1">
      <c r="B79" s="450"/>
      <c r="C79" s="455">
        <v>6112400</v>
      </c>
      <c r="D79" s="439" t="s">
        <v>541</v>
      </c>
      <c r="G79" s="448"/>
      <c r="H79" s="816">
        <f>SUMIF('Balance '!A:A,"6112400*",'Balance '!E:E)-SUMIF('Balance '!A:A,"6112400*",'Balance '!F:F)</f>
        <v>0</v>
      </c>
      <c r="I79" s="452"/>
      <c r="K79" s="453"/>
    </row>
    <row r="80" spans="2:11" ht="15" customHeight="1">
      <c r="B80" s="450"/>
      <c r="C80" s="455">
        <v>6112500</v>
      </c>
      <c r="D80" s="439" t="s">
        <v>411</v>
      </c>
      <c r="G80" s="448"/>
      <c r="H80" s="816">
        <f>SUMIF('Balance '!A:A,"6112500*",'Balance '!E:E)-SUMIF('Balance '!A:A,"6112500*",'Balance '!F:F)</f>
        <v>305.58</v>
      </c>
      <c r="I80" s="452"/>
      <c r="K80" s="453"/>
    </row>
    <row r="81" spans="2:11" ht="15" customHeight="1">
      <c r="B81" s="450"/>
      <c r="C81" s="455">
        <v>6112600</v>
      </c>
      <c r="D81" s="439" t="s">
        <v>542</v>
      </c>
      <c r="G81" s="448"/>
      <c r="H81" s="816">
        <f>SUMIF('Balance '!A:A,"6112600*",'Balance '!E:E)-SUMIF('Balance '!A:A,"6112500*",'Balance '!F:F)</f>
        <v>170.72</v>
      </c>
      <c r="I81" s="452">
        <v>1188.73</v>
      </c>
      <c r="K81" s="453"/>
    </row>
    <row r="82" spans="2:11" ht="15" customHeight="1">
      <c r="B82" s="450"/>
      <c r="G82" s="448"/>
      <c r="H82" s="816"/>
      <c r="I82" s="452"/>
      <c r="K82" s="453"/>
    </row>
    <row r="83" spans="2:11" ht="15" customHeight="1">
      <c r="B83" s="450"/>
      <c r="C83" s="439">
        <v>6120000</v>
      </c>
      <c r="D83" s="439" t="s">
        <v>543</v>
      </c>
      <c r="G83" s="448"/>
      <c r="H83" s="816">
        <f>SUMIF('Balance '!A:A,"6120000*",'Balance '!E:E)-SUMIF('Balance '!A:A,"6120000*",'Balance '!F:F)</f>
        <v>0</v>
      </c>
      <c r="I83" s="452"/>
      <c r="K83" s="453"/>
    </row>
    <row r="84" spans="2:11" ht="15" customHeight="1">
      <c r="B84" s="447"/>
      <c r="C84" s="439">
        <v>6130000</v>
      </c>
      <c r="D84" s="439" t="s">
        <v>544</v>
      </c>
      <c r="G84" s="448"/>
      <c r="H84" s="816">
        <f>SUMIF('Balance '!A:A,"6130000*",'Balance '!E:E)-SUMIF('Balance '!A:A,"6130000*",'Balance '!F:F)</f>
        <v>0</v>
      </c>
      <c r="I84" s="452"/>
      <c r="K84" s="453"/>
    </row>
    <row r="85" spans="2:11" ht="15" customHeight="1">
      <c r="B85" s="447"/>
      <c r="C85" s="439">
        <v>6130001</v>
      </c>
      <c r="D85" s="439" t="s">
        <v>545</v>
      </c>
      <c r="G85" s="448"/>
      <c r="H85" s="816">
        <f>SUMIF('Balance '!A:A,"6130001*",'Balance '!E:E)-SUMIF('Balance '!A:A,"6130001*",'Balance '!F:F)</f>
        <v>0</v>
      </c>
      <c r="I85" s="452"/>
      <c r="K85" s="453"/>
    </row>
    <row r="86" spans="2:11" ht="15" customHeight="1">
      <c r="B86" s="447"/>
      <c r="C86" s="439">
        <v>6150000</v>
      </c>
      <c r="D86" s="439" t="s">
        <v>546</v>
      </c>
      <c r="G86" s="448"/>
      <c r="H86" s="816">
        <f>SUMIF('Balance '!A:A,"6150000*",'Balance '!E:E)-SUMIF('Balance '!A:A,"6150000*",'Balance '!F:F)</f>
        <v>818.62</v>
      </c>
      <c r="I86" s="452">
        <v>160</v>
      </c>
      <c r="K86" s="453"/>
    </row>
    <row r="87" spans="2:11" ht="15" customHeight="1">
      <c r="B87" s="447"/>
      <c r="C87" s="439">
        <v>6151000</v>
      </c>
      <c r="D87" s="439" t="s">
        <v>547</v>
      </c>
      <c r="G87" s="448"/>
      <c r="H87" s="816">
        <f>SUMIF('Balance '!A:A,"6151000*",'Balance '!E:E)-SUMIF('Balance '!A:A,"6151000*",'Balance '!F:F)</f>
        <v>0</v>
      </c>
      <c r="I87" s="452"/>
      <c r="K87" s="453"/>
    </row>
    <row r="88" spans="2:11" ht="15" customHeight="1">
      <c r="B88" s="447"/>
      <c r="C88" s="439">
        <v>6156000</v>
      </c>
      <c r="D88" s="439" t="s">
        <v>548</v>
      </c>
      <c r="G88" s="448"/>
      <c r="H88" s="816">
        <f>SUMIF('Balance '!A:A,"6156000*",'Balance '!E:E)-SUMIF('Balance '!A:A,"6156000*",'Balance '!F:F)</f>
        <v>0</v>
      </c>
      <c r="I88" s="452"/>
      <c r="K88" s="453"/>
    </row>
    <row r="89" spans="2:11" ht="15" customHeight="1">
      <c r="B89" s="447"/>
      <c r="C89" s="439">
        <v>6160000</v>
      </c>
      <c r="D89" s="439" t="s">
        <v>549</v>
      </c>
      <c r="G89" s="448"/>
      <c r="H89" s="816">
        <f>SUMIF('Balance '!A:A,"6160000*",'Balance '!E:E)-SUMIF('Balance '!A:A,"6160000*",'Balance '!F:F)</f>
        <v>0</v>
      </c>
      <c r="I89" s="452"/>
      <c r="K89" s="453"/>
    </row>
    <row r="90" spans="2:11" ht="15" customHeight="1">
      <c r="B90" s="447"/>
      <c r="C90" s="439">
        <v>6190000</v>
      </c>
      <c r="D90" s="439" t="s">
        <v>550</v>
      </c>
      <c r="G90" s="448"/>
      <c r="H90" s="816">
        <f>SUMIF('Balance '!A:A,"6190000*",'Balance '!E:E)-SUMIF('Balance '!A:A,"6190000*",'Balance '!F:F)</f>
        <v>0</v>
      </c>
      <c r="I90" s="452"/>
      <c r="K90" s="453"/>
    </row>
    <row r="91" spans="2:11">
      <c r="B91" s="447"/>
      <c r="G91" s="448"/>
      <c r="H91" s="451"/>
      <c r="I91" s="451"/>
      <c r="K91" s="453"/>
    </row>
    <row r="92" spans="2:11">
      <c r="B92" s="1007" t="s">
        <v>551</v>
      </c>
      <c r="C92" s="1008"/>
      <c r="D92" s="1008"/>
      <c r="E92" s="1008"/>
      <c r="F92" s="1008"/>
      <c r="G92" s="1009"/>
      <c r="H92" s="817">
        <f>+H67+H73</f>
        <v>25693.920000000002</v>
      </c>
      <c r="I92" s="459">
        <f>+I67+I73</f>
        <v>13924.51</v>
      </c>
      <c r="K92" s="453"/>
    </row>
    <row r="93" spans="2:11" ht="13.5" thickBot="1">
      <c r="B93" s="457"/>
      <c r="C93" s="441"/>
      <c r="D93" s="441"/>
      <c r="E93" s="441"/>
      <c r="F93" s="441"/>
      <c r="G93" s="458"/>
      <c r="H93" s="821"/>
      <c r="I93" s="459"/>
      <c r="K93" s="453"/>
    </row>
    <row r="94" spans="2:11" ht="13.5" thickBot="1">
      <c r="B94" s="450" t="s">
        <v>552</v>
      </c>
      <c r="C94" s="441"/>
      <c r="D94" s="441"/>
      <c r="E94" s="441"/>
      <c r="F94" s="441"/>
      <c r="G94" s="458"/>
      <c r="H94" s="819">
        <f>+H64-H92</f>
        <v>-25693.920000000002</v>
      </c>
      <c r="I94" s="462">
        <f>+I64-I92</f>
        <v>-10985.45</v>
      </c>
      <c r="K94" s="453"/>
    </row>
    <row r="95" spans="2:11">
      <c r="B95" s="457"/>
      <c r="C95" s="441"/>
      <c r="D95" s="441"/>
      <c r="E95" s="441"/>
      <c r="F95" s="441"/>
      <c r="G95" s="458"/>
      <c r="H95" s="817"/>
      <c r="I95" s="459"/>
      <c r="K95" s="453"/>
    </row>
    <row r="96" spans="2:11">
      <c r="B96" s="447"/>
      <c r="C96" s="439" t="s">
        <v>553</v>
      </c>
      <c r="D96" s="441"/>
      <c r="E96" s="441"/>
      <c r="F96" s="441"/>
      <c r="G96" s="458"/>
      <c r="H96" s="816">
        <f>SUMIF('Balance '!A:A,"771000*",'Balance '!F:F)-SUMIF('Balance '!A:A,"771000*",'Balance '!E:E)</f>
        <v>0</v>
      </c>
      <c r="I96" s="459"/>
      <c r="K96" s="453"/>
    </row>
    <row r="97" spans="1:11" ht="13.5" thickBot="1">
      <c r="B97" s="457"/>
      <c r="C97" s="441"/>
      <c r="D97" s="441"/>
      <c r="E97" s="441"/>
      <c r="F97" s="441"/>
      <c r="G97" s="458"/>
      <c r="H97" s="817"/>
      <c r="I97" s="459"/>
      <c r="K97" s="453"/>
    </row>
    <row r="98" spans="1:11" ht="13.5" thickBot="1">
      <c r="A98" s="421" t="s">
        <v>422</v>
      </c>
      <c r="B98" s="460" t="s">
        <v>554</v>
      </c>
      <c r="G98" s="448"/>
      <c r="H98" s="822">
        <f>+H94+H96</f>
        <v>-25693.920000000002</v>
      </c>
      <c r="I98" s="462">
        <f>+I94+I96</f>
        <v>-10985.45</v>
      </c>
      <c r="K98" s="453"/>
    </row>
    <row r="99" spans="1:11">
      <c r="B99" s="447"/>
      <c r="G99" s="448"/>
      <c r="H99" s="451"/>
      <c r="I99" s="451"/>
      <c r="K99" s="453"/>
    </row>
    <row r="100" spans="1:11">
      <c r="B100" s="450" t="s">
        <v>555</v>
      </c>
      <c r="G100" s="448"/>
      <c r="H100" s="451"/>
      <c r="I100" s="451"/>
      <c r="K100" s="453"/>
    </row>
    <row r="101" spans="1:11">
      <c r="B101" s="447"/>
      <c r="G101" s="448"/>
      <c r="H101" s="451"/>
      <c r="I101" s="451"/>
      <c r="K101" s="453"/>
    </row>
    <row r="102" spans="1:11">
      <c r="B102" s="447"/>
      <c r="C102" s="439" t="s">
        <v>556</v>
      </c>
      <c r="G102" s="448"/>
      <c r="H102" s="451"/>
      <c r="I102" s="456"/>
      <c r="K102" s="453" t="s">
        <v>557</v>
      </c>
    </row>
    <row r="103" spans="1:11">
      <c r="B103" s="447"/>
      <c r="C103" s="813" t="s">
        <v>558</v>
      </c>
      <c r="G103" s="448"/>
      <c r="H103" s="451"/>
      <c r="I103" s="456"/>
      <c r="K103" s="453"/>
    </row>
    <row r="104" spans="1:11">
      <c r="B104" s="447"/>
      <c r="C104" s="439">
        <v>6440000</v>
      </c>
      <c r="D104" s="439" t="s">
        <v>503</v>
      </c>
      <c r="G104" s="448"/>
      <c r="H104" s="816">
        <f>-(SUMIF('Balance '!A:A,"6440000*",'Balance '!E:E)-SUMIF('Balance '!A:A,"6440000*",'Balance '!F:F))</f>
        <v>0</v>
      </c>
      <c r="I104" s="456"/>
      <c r="K104" s="453"/>
    </row>
    <row r="105" spans="1:11">
      <c r="B105" s="447"/>
      <c r="C105" s="439">
        <v>6441200</v>
      </c>
      <c r="D105" s="439" t="s">
        <v>559</v>
      </c>
      <c r="G105" s="448"/>
      <c r="H105" s="816">
        <f>-(SUMIF('Balance '!A:A,"6441200*",'Balance '!E:E)-SUMIF('Balance '!A:A,"6441200*",'Balance '!F:F))</f>
        <v>0</v>
      </c>
      <c r="I105" s="456"/>
      <c r="K105" s="453"/>
    </row>
    <row r="106" spans="1:11">
      <c r="B106" s="447"/>
      <c r="C106" s="439">
        <v>6441500</v>
      </c>
      <c r="D106" s="439" t="s">
        <v>505</v>
      </c>
      <c r="G106" s="448"/>
      <c r="H106" s="816">
        <f>-(SUMIF('Balance '!A:A,"6441500*",'Balance '!E:E)-SUMIF('Balance '!A:A,"6441500*",'Balance '!F:F))</f>
        <v>0</v>
      </c>
      <c r="I106" s="456"/>
      <c r="K106" s="453"/>
    </row>
    <row r="107" spans="1:11">
      <c r="B107" s="447"/>
      <c r="C107" s="439">
        <v>6442000</v>
      </c>
      <c r="D107" s="439" t="s">
        <v>560</v>
      </c>
      <c r="G107" s="448"/>
      <c r="H107" s="816">
        <f>-(SUMIF('Balance '!A:A,"6442000*",'Balance '!E:E)-SUMIF('Balance '!A:A,"6442000*",'Balance '!F:F))</f>
        <v>0</v>
      </c>
      <c r="I107" s="456"/>
      <c r="K107" s="453"/>
    </row>
    <row r="108" spans="1:11">
      <c r="B108" s="447"/>
      <c r="C108" s="439">
        <v>6443000</v>
      </c>
      <c r="D108" s="439" t="s">
        <v>561</v>
      </c>
      <c r="G108" s="448"/>
      <c r="H108" s="816">
        <f>-(SUMIF('Balance '!A:A,"6443000*",'Balance '!E:E)-SUMIF('Balance '!A:A,"6443000*",'Balance '!F:F))</f>
        <v>0</v>
      </c>
      <c r="I108" s="456"/>
      <c r="K108" s="453"/>
    </row>
    <row r="109" spans="1:11">
      <c r="B109" s="447"/>
      <c r="C109" s="439">
        <v>6444000</v>
      </c>
      <c r="D109" s="439" t="s">
        <v>562</v>
      </c>
      <c r="G109" s="448"/>
      <c r="H109" s="816">
        <f>-(SUMIF('Balance '!A:A,"6444000*",'Balance '!E:E)-SUMIF('Balance '!A:A,"6444000*",'Balance '!F:F))</f>
        <v>0</v>
      </c>
      <c r="I109" s="456"/>
      <c r="K109" s="453"/>
    </row>
    <row r="110" spans="1:11">
      <c r="B110" s="447"/>
      <c r="C110" s="439">
        <v>6445000</v>
      </c>
      <c r="D110" s="439" t="s">
        <v>563</v>
      </c>
      <c r="G110" s="448"/>
      <c r="H110" s="816">
        <f>-(SUMIF('Balance '!A:A,"6445000*",'Balance '!E:E)-SUMIF('Balance '!A:A,"6445000*",'Balance '!F:F))</f>
        <v>0</v>
      </c>
      <c r="I110" s="456"/>
      <c r="K110" s="453"/>
    </row>
    <row r="111" spans="1:11">
      <c r="B111" s="447"/>
      <c r="C111" s="439">
        <v>6446100</v>
      </c>
      <c r="D111" s="439" t="s">
        <v>564</v>
      </c>
      <c r="G111" s="448"/>
      <c r="H111" s="816">
        <f>-(SUMIF('Balance '!A:A,"6446100*",'Balance '!E:E)-SUMIF('Balance '!A:A,"6446100*",'Balance '!F:F))</f>
        <v>0</v>
      </c>
      <c r="I111" s="456"/>
      <c r="K111" s="453"/>
    </row>
    <row r="112" spans="1:11">
      <c r="B112" s="447"/>
      <c r="C112" s="439">
        <v>6446200</v>
      </c>
      <c r="D112" s="439" t="s">
        <v>565</v>
      </c>
      <c r="G112" s="448"/>
      <c r="H112" s="816">
        <f>-(SUMIF('Balance '!A:A,"6446200*",'Balance '!E:E)-SUMIF('Balance '!A:A,"6446200*",'Balance '!F:F))</f>
        <v>0</v>
      </c>
      <c r="I112" s="456"/>
      <c r="K112" s="453"/>
    </row>
    <row r="113" spans="2:11">
      <c r="B113" s="447"/>
      <c r="C113" s="439">
        <v>6447000</v>
      </c>
      <c r="D113" s="439" t="s">
        <v>566</v>
      </c>
      <c r="G113" s="448"/>
      <c r="H113" s="816">
        <f>-(SUMIF('Balance '!A:A,"6447000*",'Balance '!E:E)-SUMIF('Balance '!A:A,"6447000*",'Balance '!F:F))</f>
        <v>0</v>
      </c>
      <c r="I113" s="456"/>
      <c r="K113" s="453"/>
    </row>
    <row r="114" spans="2:11">
      <c r="B114" s="447"/>
      <c r="C114" s="439">
        <v>6448000</v>
      </c>
      <c r="D114" s="439" t="s">
        <v>567</v>
      </c>
      <c r="G114" s="448"/>
      <c r="H114" s="816">
        <f>-(SUMIF('Balance '!A:A,"6448000*",'Balance '!E:E)-SUMIF('Balance '!A:A,"6448000*",'Balance '!F:F))</f>
        <v>0</v>
      </c>
      <c r="I114" s="456"/>
      <c r="K114" s="453"/>
    </row>
    <row r="115" spans="2:11">
      <c r="B115" s="447"/>
      <c r="C115" s="439">
        <v>6449000</v>
      </c>
      <c r="D115" s="439" t="s">
        <v>568</v>
      </c>
      <c r="G115" s="448"/>
      <c r="H115" s="816">
        <f>-(SUMIF('Balance '!A:A,"6449000*",'Balance '!E:E)-SUMIF('Balance '!A:A,"6449000*",'Balance '!F:F))</f>
        <v>0</v>
      </c>
      <c r="I115" s="456"/>
      <c r="K115" s="453"/>
    </row>
    <row r="116" spans="2:11">
      <c r="B116" s="447"/>
      <c r="G116" s="448"/>
      <c r="H116" s="451"/>
      <c r="I116" s="456"/>
      <c r="K116" s="453"/>
    </row>
    <row r="117" spans="2:11">
      <c r="B117" s="447"/>
      <c r="C117" s="813" t="s">
        <v>569</v>
      </c>
      <c r="G117" s="448"/>
      <c r="H117" s="451"/>
      <c r="I117" s="456"/>
      <c r="K117" s="453"/>
    </row>
    <row r="118" spans="2:11">
      <c r="B118" s="447"/>
      <c r="C118" s="439">
        <v>7440000</v>
      </c>
      <c r="D118" s="439" t="s">
        <v>503</v>
      </c>
      <c r="G118" s="448"/>
      <c r="H118" s="816">
        <f>SUMIF('Balance '!A:A,"7440000*",'Balance '!F:F)-SUMIF('Balance '!A:A,"7440000*",'Balance '!E:E)</f>
        <v>0</v>
      </c>
      <c r="I118" s="456"/>
      <c r="K118" s="453"/>
    </row>
    <row r="119" spans="2:11">
      <c r="B119" s="447"/>
      <c r="C119" s="439">
        <v>7441200</v>
      </c>
      <c r="D119" s="439" t="s">
        <v>559</v>
      </c>
      <c r="G119" s="448"/>
      <c r="H119" s="816">
        <f>SUMIF('Balance '!A:A,"7441200*",'Balance '!F:F)-SUMIF('Balance '!A:A,"7441200*",'Balance '!E:E)</f>
        <v>0</v>
      </c>
      <c r="I119" s="456"/>
      <c r="K119" s="453"/>
    </row>
    <row r="120" spans="2:11">
      <c r="B120" s="447"/>
      <c r="C120" s="439">
        <v>7441500</v>
      </c>
      <c r="D120" s="439" t="s">
        <v>505</v>
      </c>
      <c r="G120" s="448"/>
      <c r="H120" s="816">
        <f>SUMIF('Balance '!A:A,"7441500*",'Balance '!F:F)-SUMIF('Balance '!A:A,"7441500*",'Balance '!E:E)</f>
        <v>0</v>
      </c>
      <c r="I120" s="456"/>
      <c r="K120" s="453"/>
    </row>
    <row r="121" spans="2:11">
      <c r="B121" s="447"/>
      <c r="C121" s="439">
        <v>7442000</v>
      </c>
      <c r="D121" s="439" t="s">
        <v>560</v>
      </c>
      <c r="G121" s="448"/>
      <c r="H121" s="816">
        <f>SUMIF('Balance '!A:A,"7442000*",'Balance '!F:F)-SUMIF('Balance '!A:A,"7442000*",'Balance '!E:E)</f>
        <v>0</v>
      </c>
      <c r="I121" s="456"/>
      <c r="K121" s="453"/>
    </row>
    <row r="122" spans="2:11">
      <c r="B122" s="447"/>
      <c r="C122" s="439">
        <v>7443000</v>
      </c>
      <c r="D122" s="439" t="s">
        <v>561</v>
      </c>
      <c r="G122" s="448"/>
      <c r="H122" s="816">
        <f>SUMIF('Balance '!A:A,"7443000*",'Balance '!F:F)-SUMIF('Balance '!A:A,"7443000*",'Balance '!E:E)</f>
        <v>0</v>
      </c>
      <c r="I122" s="456"/>
      <c r="K122" s="453"/>
    </row>
    <row r="123" spans="2:11">
      <c r="B123" s="447"/>
      <c r="C123" s="439">
        <v>7444000</v>
      </c>
      <c r="D123" s="439" t="s">
        <v>562</v>
      </c>
      <c r="G123" s="448"/>
      <c r="H123" s="816">
        <f>SUMIF('Balance '!A:A,"7444000*",'Balance '!F:F)-SUMIF('Balance '!A:A,"7444000*",'Balance '!E:E)</f>
        <v>0</v>
      </c>
      <c r="I123" s="456"/>
      <c r="K123" s="453"/>
    </row>
    <row r="124" spans="2:11">
      <c r="B124" s="447"/>
      <c r="C124" s="439">
        <v>7445000</v>
      </c>
      <c r="D124" s="439" t="s">
        <v>563</v>
      </c>
      <c r="G124" s="448"/>
      <c r="H124" s="816">
        <f>SUMIF('Balance '!A:A,"7445000*",'Balance '!F:F)-SUMIF('Balance '!A:A,"7445000*",'Balance '!E:E)</f>
        <v>0</v>
      </c>
      <c r="I124" s="456"/>
      <c r="K124" s="453"/>
    </row>
    <row r="125" spans="2:11">
      <c r="B125" s="447"/>
      <c r="C125" s="439">
        <v>7446100</v>
      </c>
      <c r="D125" s="439" t="s">
        <v>564</v>
      </c>
      <c r="G125" s="448"/>
      <c r="H125" s="816">
        <f>SUMIF('Balance '!A:A,"7446100*",'Balance '!F:F)-SUMIF('Balance '!A:A,"7446100*",'Balance '!E:E)</f>
        <v>0</v>
      </c>
      <c r="I125" s="456"/>
      <c r="K125" s="453"/>
    </row>
    <row r="126" spans="2:11">
      <c r="B126" s="447"/>
      <c r="C126" s="439">
        <v>7446200</v>
      </c>
      <c r="D126" s="439" t="s">
        <v>565</v>
      </c>
      <c r="G126" s="448"/>
      <c r="H126" s="816">
        <f>SUMIF('Balance '!A:A,"7446200*",'Balance '!F:F)-SUMIF('Balance '!A:A,"7446200*",'Balance '!E:E)</f>
        <v>0</v>
      </c>
      <c r="I126" s="456"/>
      <c r="K126" s="453"/>
    </row>
    <row r="127" spans="2:11">
      <c r="B127" s="447"/>
      <c r="C127" s="439">
        <v>7447000</v>
      </c>
      <c r="D127" s="439" t="s">
        <v>566</v>
      </c>
      <c r="G127" s="448"/>
      <c r="H127" s="816">
        <f>SUMIF('Balance '!A:A,"7447000*",'Balance '!F:F)-SUMIF('Balance '!A:A,"7447000*",'Balance '!E:E)</f>
        <v>0</v>
      </c>
      <c r="I127" s="456"/>
      <c r="K127" s="453"/>
    </row>
    <row r="128" spans="2:11">
      <c r="B128" s="447"/>
      <c r="C128" s="439">
        <v>7448000</v>
      </c>
      <c r="D128" s="439" t="s">
        <v>567</v>
      </c>
      <c r="G128" s="448"/>
      <c r="H128" s="816">
        <f>SUMIF('Balance '!A:A,"7448000*",'Balance '!F:F)-SUMIF('Balance '!A:A,"7448000*",'Balance '!E:E)</f>
        <v>0</v>
      </c>
      <c r="I128" s="456"/>
      <c r="K128" s="453"/>
    </row>
    <row r="129" spans="2:11">
      <c r="B129" s="447"/>
      <c r="C129" s="439">
        <v>7460000</v>
      </c>
      <c r="D129" s="439" t="s">
        <v>570</v>
      </c>
      <c r="G129" s="448"/>
      <c r="H129" s="816">
        <f>SUMIF('Balance '!A:A,"7460000*",'Balance '!F:F)-SUMIF('Balance '!A:A,"7460000*",'Balance '!E:E)</f>
        <v>0</v>
      </c>
      <c r="I129" s="456"/>
      <c r="K129" s="453"/>
    </row>
    <row r="130" spans="2:11">
      <c r="B130" s="447"/>
      <c r="C130" s="439">
        <v>7471000</v>
      </c>
      <c r="D130" s="439" t="s">
        <v>571</v>
      </c>
      <c r="G130" s="448"/>
      <c r="H130" s="816">
        <f>SUMIF('Balance '!A:A,"7471000*",'Balance '!F:F)-SUMIF('Balance '!A:A,"7471000*",'Balance '!E:E)</f>
        <v>0</v>
      </c>
      <c r="I130" s="456"/>
      <c r="K130" s="453"/>
    </row>
    <row r="131" spans="2:11">
      <c r="B131" s="447"/>
      <c r="C131" s="439">
        <v>7479000</v>
      </c>
      <c r="D131" s="439" t="s">
        <v>572</v>
      </c>
      <c r="G131" s="448"/>
      <c r="H131" s="816">
        <f>SUMIF('Balance '!A:A,"7479000*",'Balance '!F:F)-SUMIF('Balance '!A:A,"7479000*",'Balance '!E:E)</f>
        <v>0</v>
      </c>
      <c r="I131" s="456"/>
      <c r="K131" s="453"/>
    </row>
    <row r="132" spans="2:11">
      <c r="B132" s="447"/>
      <c r="G132" s="448"/>
      <c r="H132" s="451"/>
      <c r="I132" s="456"/>
      <c r="K132" s="453"/>
    </row>
    <row r="133" spans="2:11">
      <c r="B133" s="447"/>
      <c r="C133" s="439" t="s">
        <v>573</v>
      </c>
      <c r="G133" s="448"/>
      <c r="H133" s="451"/>
      <c r="I133" s="456"/>
      <c r="K133" s="453"/>
    </row>
    <row r="134" spans="2:11">
      <c r="B134" s="447"/>
      <c r="C134" s="439">
        <v>6451110</v>
      </c>
      <c r="D134" s="439" t="s">
        <v>574</v>
      </c>
      <c r="G134" s="448"/>
      <c r="H134" s="816">
        <f>-SUMIF('Balance '!A:A,"64511100*",'Balance '!E:E)-SUMIF('Balance '!A:A,"64511100*",'Balance '!F:F)</f>
        <v>0</v>
      </c>
      <c r="I134" s="456"/>
      <c r="K134" s="453"/>
    </row>
    <row r="135" spans="2:11">
      <c r="B135" s="447"/>
      <c r="C135" s="439">
        <v>6451120</v>
      </c>
      <c r="D135" s="439" t="s">
        <v>575</v>
      </c>
      <c r="G135" s="448"/>
      <c r="H135" s="816">
        <f>-SUMIF('Balance '!A:A,"64511200*",'Balance '!E:E)-SUMIF('Balance '!A:A,"64511200*",'Balance '!F:F)</f>
        <v>0</v>
      </c>
      <c r="I135" s="456"/>
      <c r="K135" s="453"/>
    </row>
    <row r="136" spans="2:11">
      <c r="B136" s="447"/>
      <c r="G136" s="448"/>
      <c r="H136" s="609"/>
      <c r="I136" s="456"/>
      <c r="K136" s="453"/>
    </row>
    <row r="137" spans="2:11">
      <c r="B137" s="447"/>
      <c r="C137" s="439">
        <v>6451200</v>
      </c>
      <c r="D137" s="439" t="s">
        <v>576</v>
      </c>
      <c r="G137" s="448"/>
      <c r="H137" s="816">
        <f>-SUMIF('Balance '!A:A,"6451200*",'Balance '!E:E)-SUMIF('Balance '!A:A,"6451200*",'Balance '!F:F)</f>
        <v>0</v>
      </c>
      <c r="I137" s="456"/>
      <c r="K137" s="453"/>
    </row>
    <row r="138" spans="2:11">
      <c r="B138" s="447"/>
      <c r="C138" s="439">
        <v>6452000</v>
      </c>
      <c r="D138" s="439" t="s">
        <v>577</v>
      </c>
      <c r="G138" s="448"/>
      <c r="H138" s="816">
        <f>-SUMIF('Balance '!A:A,"645200*",'Balance '!E:E)-SUMIF('Balance '!A:A,"645200*",'Balance '!F:F)</f>
        <v>0</v>
      </c>
      <c r="I138" s="456"/>
      <c r="K138" s="453"/>
    </row>
    <row r="139" spans="2:11">
      <c r="B139" s="447"/>
      <c r="C139" s="439" t="s">
        <v>578</v>
      </c>
      <c r="G139" s="448"/>
      <c r="H139" s="451"/>
      <c r="I139" s="456"/>
      <c r="K139" s="453"/>
    </row>
    <row r="140" spans="2:11">
      <c r="B140" s="447"/>
      <c r="G140" s="448"/>
      <c r="H140" s="451"/>
      <c r="I140" s="451"/>
      <c r="K140" s="453"/>
    </row>
    <row r="141" spans="2:11">
      <c r="B141" s="1007" t="s">
        <v>579</v>
      </c>
      <c r="C141" s="1008"/>
      <c r="D141" s="1008"/>
      <c r="E141" s="1008"/>
      <c r="F141" s="1008"/>
      <c r="G141" s="1009"/>
      <c r="H141" s="464">
        <f>+SUM(H102:H139)</f>
        <v>0</v>
      </c>
      <c r="I141" s="464">
        <f>+SUM(I102:I139)</f>
        <v>0</v>
      </c>
      <c r="K141" s="453"/>
    </row>
    <row r="142" spans="2:11">
      <c r="B142" s="447"/>
      <c r="G142" s="448"/>
      <c r="H142" s="451"/>
      <c r="I142" s="451"/>
      <c r="K142" s="453"/>
    </row>
    <row r="143" spans="2:11">
      <c r="B143" s="447"/>
      <c r="C143" s="439" t="s">
        <v>580</v>
      </c>
      <c r="G143" s="448"/>
      <c r="H143" s="816">
        <f>SUMIF('Balance '!A:A,"774000*",'Balance '!F:F)-SUMIF('Balance '!A:A,"774000*",'Balance '!E:E)</f>
        <v>0</v>
      </c>
      <c r="I143" s="451"/>
      <c r="K143" s="453"/>
    </row>
    <row r="144" spans="2:11" ht="13.5" thickBot="1">
      <c r="B144" s="447"/>
      <c r="G144" s="448"/>
      <c r="H144" s="451"/>
      <c r="I144" s="451"/>
      <c r="K144" s="453"/>
    </row>
    <row r="145" spans="1:11" ht="13.5" thickBot="1">
      <c r="B145" s="450" t="s">
        <v>581</v>
      </c>
      <c r="G145" s="448"/>
      <c r="H145" s="819">
        <f>+H141+H143</f>
        <v>0</v>
      </c>
      <c r="I145" s="462">
        <f>+I141+I143</f>
        <v>0</v>
      </c>
      <c r="K145" s="453"/>
    </row>
    <row r="146" spans="1:11">
      <c r="B146" s="447"/>
      <c r="G146" s="448"/>
      <c r="H146" s="451"/>
      <c r="I146" s="451"/>
      <c r="K146" s="453"/>
    </row>
    <row r="147" spans="1:11">
      <c r="B147" s="450" t="s">
        <v>582</v>
      </c>
      <c r="G147" s="448"/>
      <c r="H147" s="451"/>
      <c r="I147" s="451"/>
      <c r="K147" s="453"/>
    </row>
    <row r="148" spans="1:11">
      <c r="B148" s="447"/>
      <c r="G148" s="448"/>
      <c r="H148" s="451"/>
      <c r="I148" s="451"/>
      <c r="K148" s="453"/>
    </row>
    <row r="149" spans="1:11">
      <c r="B149" s="447"/>
      <c r="C149" s="439" t="s">
        <v>583</v>
      </c>
      <c r="G149" s="448"/>
      <c r="H149" s="451"/>
      <c r="I149" s="451"/>
      <c r="K149" s="453"/>
    </row>
    <row r="150" spans="1:11">
      <c r="A150" s="465" t="s">
        <v>584</v>
      </c>
      <c r="B150" s="447"/>
      <c r="C150" s="421">
        <v>6510000</v>
      </c>
      <c r="D150" s="439" t="s">
        <v>585</v>
      </c>
      <c r="G150" s="448"/>
      <c r="H150" s="816">
        <f>-(SUMIF('Balance '!A:A,"6510000*",'Balance '!E:E)-SUMIF('Balance '!A:A,"6510000*",'Balance '!F:F))</f>
        <v>1679460.6</v>
      </c>
      <c r="I150" s="102">
        <v>4383334.4400000004</v>
      </c>
      <c r="K150" s="453" t="s">
        <v>586</v>
      </c>
    </row>
    <row r="151" spans="1:11">
      <c r="B151" s="447"/>
      <c r="C151" s="421">
        <v>6560000</v>
      </c>
      <c r="D151" s="439" t="s">
        <v>587</v>
      </c>
      <c r="G151" s="448"/>
      <c r="H151" s="816">
        <f>-SUMIF('Balance '!A:A,"6560000*",'Balance '!E:E)-SUMIF('Balance '!A:A,"6560000*",'Balance '!F:F)</f>
        <v>0</v>
      </c>
      <c r="I151" s="456"/>
      <c r="K151" s="453"/>
    </row>
    <row r="152" spans="1:11">
      <c r="B152" s="447"/>
      <c r="C152" s="421"/>
      <c r="G152" s="448"/>
      <c r="H152" s="609"/>
      <c r="I152" s="456"/>
      <c r="K152" s="453"/>
    </row>
    <row r="153" spans="1:11">
      <c r="B153" s="447"/>
      <c r="C153" s="421" t="s">
        <v>588</v>
      </c>
      <c r="G153" s="448"/>
      <c r="H153" s="609"/>
      <c r="I153" s="456"/>
      <c r="K153" s="453"/>
    </row>
    <row r="154" spans="1:11">
      <c r="B154" s="447"/>
      <c r="C154" s="421">
        <v>7550000</v>
      </c>
      <c r="D154" s="439" t="s">
        <v>503</v>
      </c>
      <c r="G154" s="448"/>
      <c r="H154" s="816">
        <f>SUMIF('Balance '!A:A,"7550000*",'Balance '!F:F)-SUMIF('Balance '!A:A,"7550000*",'Balance '!E:E)</f>
        <v>-3633212.33</v>
      </c>
      <c r="I154" s="102">
        <v>-1679460.6</v>
      </c>
      <c r="K154" s="453"/>
    </row>
    <row r="155" spans="1:11">
      <c r="B155" s="447"/>
      <c r="C155" s="421">
        <v>7551200</v>
      </c>
      <c r="D155" s="439" t="s">
        <v>559</v>
      </c>
      <c r="G155" s="448"/>
      <c r="H155" s="816">
        <f>SUMIF('Balance '!A:A,"7551200*",'Balance '!F:F)-SUMIF('Balance '!A:A,"7551200*",'Balance '!E:E)</f>
        <v>0</v>
      </c>
      <c r="I155" s="102"/>
      <c r="K155" s="453"/>
    </row>
    <row r="156" spans="1:11">
      <c r="B156" s="447"/>
      <c r="C156" s="421">
        <v>7551500</v>
      </c>
      <c r="D156" s="439" t="s">
        <v>505</v>
      </c>
      <c r="G156" s="448"/>
      <c r="H156" s="816">
        <f>SUMIF('Balance '!A:A,"7551500*",'Balance '!F:F)-SUMIF('Balance '!A:A,"7551500*",'Balance '!E:E)</f>
        <v>0</v>
      </c>
      <c r="I156" s="456"/>
      <c r="K156" s="453"/>
    </row>
    <row r="157" spans="1:11">
      <c r="B157" s="447"/>
      <c r="C157" s="421">
        <v>7552000</v>
      </c>
      <c r="D157" s="439" t="s">
        <v>560</v>
      </c>
      <c r="G157" s="448"/>
      <c r="H157" s="816">
        <f>SUMIF('Balance '!A:A,"7552000*",'Balance '!F:F)-SUMIF('Balance '!A:A,"7552000*",'Balance '!E:E)</f>
        <v>0</v>
      </c>
      <c r="I157" s="456"/>
      <c r="K157" s="453"/>
    </row>
    <row r="158" spans="1:11">
      <c r="B158" s="447"/>
      <c r="C158" s="421">
        <v>7553000</v>
      </c>
      <c r="D158" s="439" t="s">
        <v>561</v>
      </c>
      <c r="G158" s="448"/>
      <c r="H158" s="816">
        <f>SUMIF('Balance '!A:A,"7553000*",'Balance '!F:F)-SUMIF('Balance '!A:A,"7553000*",'Balance '!E:E)</f>
        <v>0</v>
      </c>
      <c r="I158" s="456"/>
      <c r="K158" s="453"/>
    </row>
    <row r="159" spans="1:11">
      <c r="B159" s="447"/>
      <c r="C159" s="421">
        <v>7554000</v>
      </c>
      <c r="D159" s="439" t="s">
        <v>562</v>
      </c>
      <c r="G159" s="448"/>
      <c r="H159" s="816">
        <f>SUMIF('Balance '!A:A,"7554000*",'Balance '!F:F)-SUMIF('Balance '!A:A,"7554000*",'Balance '!E:E)</f>
        <v>0</v>
      </c>
      <c r="I159" s="456"/>
      <c r="K159" s="453"/>
    </row>
    <row r="160" spans="1:11">
      <c r="B160" s="447"/>
      <c r="C160" s="421">
        <v>7555000</v>
      </c>
      <c r="D160" s="439" t="s">
        <v>563</v>
      </c>
      <c r="G160" s="448"/>
      <c r="H160" s="816">
        <f>SUMIF('Balance '!A:A,"7555000*",'Balance '!F:F)-SUMIF('Balance '!A:A,"7555000*",'Balance '!E:E)</f>
        <v>0</v>
      </c>
      <c r="I160" s="456"/>
      <c r="K160" s="453"/>
    </row>
    <row r="161" spans="2:11">
      <c r="B161" s="447"/>
      <c r="C161" s="421">
        <v>7556100</v>
      </c>
      <c r="D161" s="439" t="s">
        <v>564</v>
      </c>
      <c r="G161" s="448"/>
      <c r="H161" s="816">
        <f>SUMIF('Balance '!A:A,"7556100*",'Balance '!F:F)-SUMIF('Balance '!A:A,"7556100*",'Balance '!E:E)</f>
        <v>0</v>
      </c>
      <c r="I161" s="456"/>
      <c r="K161" s="453"/>
    </row>
    <row r="162" spans="2:11">
      <c r="B162" s="447"/>
      <c r="C162" s="421">
        <v>7556200</v>
      </c>
      <c r="D162" s="439" t="s">
        <v>565</v>
      </c>
      <c r="G162" s="448"/>
      <c r="H162" s="816">
        <f>SUMIF('Balance '!A:A,"7556200*",'Balance '!F:F)-SUMIF('Balance '!A:A,"7556200*",'Balance '!E:E)</f>
        <v>0</v>
      </c>
      <c r="I162" s="456"/>
      <c r="K162" s="453"/>
    </row>
    <row r="163" spans="2:11">
      <c r="B163" s="447"/>
      <c r="C163" s="421">
        <v>7557000</v>
      </c>
      <c r="D163" s="439" t="s">
        <v>566</v>
      </c>
      <c r="G163" s="448"/>
      <c r="H163" s="816">
        <f>SUMIF('Balance '!A:A,"7557000*",'Balance '!F:F)-SUMIF('Balance '!A:A,"7557000*",'Balance '!E:E)</f>
        <v>0</v>
      </c>
      <c r="I163" s="456"/>
      <c r="K163" s="453"/>
    </row>
    <row r="164" spans="2:11">
      <c r="B164" s="447"/>
      <c r="C164" s="421">
        <v>7558000</v>
      </c>
      <c r="D164" s="439" t="s">
        <v>567</v>
      </c>
      <c r="G164" s="448"/>
      <c r="H164" s="816">
        <f>SUMIF('Balance '!A:A,"7558000*",'Balance '!F:F)-SUMIF('Balance '!A:A,"7558000*",'Balance '!E:E)</f>
        <v>0</v>
      </c>
      <c r="I164" s="456"/>
      <c r="K164" s="453"/>
    </row>
    <row r="165" spans="2:11">
      <c r="B165" s="447"/>
      <c r="C165" s="421">
        <v>7559000</v>
      </c>
      <c r="D165" s="439" t="s">
        <v>589</v>
      </c>
      <c r="G165" s="448"/>
      <c r="H165" s="816">
        <f>SUMIF('Balance '!A:A,"7559000*",'Balance '!F:F)-SUMIF('Balance '!A:A,"7559000*",'Balance '!E:E)</f>
        <v>0</v>
      </c>
      <c r="I165" s="456"/>
      <c r="K165" s="453"/>
    </row>
    <row r="166" spans="2:11">
      <c r="B166" s="447"/>
      <c r="C166" s="421">
        <v>7560000</v>
      </c>
      <c r="D166" s="439" t="s">
        <v>587</v>
      </c>
      <c r="G166" s="448"/>
      <c r="H166" s="816">
        <f>SUMIF('Balance '!A:A,"7560000*",'Balance '!F:F)-SUMIF('Balance '!A:A,"7560000*",'Balance '!E:E)</f>
        <v>0</v>
      </c>
      <c r="I166" s="456"/>
      <c r="K166" s="453"/>
    </row>
    <row r="167" spans="2:11">
      <c r="B167" s="447"/>
      <c r="C167" s="421">
        <v>7570000</v>
      </c>
      <c r="D167" s="439" t="s">
        <v>590</v>
      </c>
      <c r="G167" s="448"/>
      <c r="H167" s="816">
        <f>SUMIF('Balance '!A:A,"7570000*",'Balance '!F:F)-SUMIF('Balance '!A:A,"7570000*",'Balance '!E:E)</f>
        <v>0</v>
      </c>
      <c r="I167" s="456"/>
      <c r="K167" s="453"/>
    </row>
    <row r="168" spans="2:11">
      <c r="B168" s="447"/>
      <c r="C168" s="421">
        <v>7580000</v>
      </c>
      <c r="D168" s="439" t="s">
        <v>591</v>
      </c>
      <c r="G168" s="448"/>
      <c r="H168" s="816">
        <f>SUMIF('Balance '!A:A,"7580000*",'Balance '!F:F)-SUMIF('Balance '!A:A,"7580000*",'Balance '!E:E)</f>
        <v>0</v>
      </c>
      <c r="I168" s="456"/>
      <c r="K168" s="453"/>
    </row>
    <row r="169" spans="2:11">
      <c r="B169" s="447"/>
      <c r="C169" s="421">
        <v>7590000</v>
      </c>
      <c r="D169" s="439" t="s">
        <v>592</v>
      </c>
      <c r="G169" s="448"/>
      <c r="H169" s="816">
        <f>SUMIF('Balance '!A:A,"7590000*",'Balance '!F:F)-SUMIF('Balance '!A:A,"7590000*",'Balance '!E:E)</f>
        <v>0</v>
      </c>
      <c r="I169" s="456"/>
      <c r="K169" s="453"/>
    </row>
    <row r="170" spans="2:11">
      <c r="B170" s="447"/>
      <c r="C170" s="421"/>
      <c r="G170" s="448"/>
      <c r="H170" s="609"/>
      <c r="I170" s="456"/>
      <c r="K170" s="453"/>
    </row>
    <row r="171" spans="2:11">
      <c r="B171" s="1007" t="s">
        <v>593</v>
      </c>
      <c r="C171" s="1008"/>
      <c r="D171" s="1008"/>
      <c r="E171" s="1008"/>
      <c r="F171" s="1008"/>
      <c r="G171" s="1009"/>
      <c r="H171" s="609">
        <f>+SUM(H150:H170)</f>
        <v>-1953751.73</v>
      </c>
      <c r="I171" s="609">
        <f>+SUM(I150:I170)</f>
        <v>2703873.8400000003</v>
      </c>
      <c r="K171" s="453"/>
    </row>
    <row r="172" spans="2:11">
      <c r="B172" s="447"/>
      <c r="G172" s="448"/>
      <c r="H172" s="609"/>
      <c r="I172" s="451"/>
      <c r="K172" s="453"/>
    </row>
    <row r="173" spans="2:11">
      <c r="B173" s="447"/>
      <c r="C173" s="439" t="s">
        <v>594</v>
      </c>
      <c r="G173" s="448"/>
      <c r="H173" s="816">
        <f>SUMIF('Balance '!A:A,"775000*",'Balance '!F:F)-SUMIF('Balance '!A:A,"775000*",'Balance '!E:E)</f>
        <v>0</v>
      </c>
      <c r="I173" s="451"/>
      <c r="K173" s="453"/>
    </row>
    <row r="174" spans="2:11" ht="13.5" thickBot="1">
      <c r="B174" s="447"/>
      <c r="G174" s="448"/>
      <c r="H174" s="451"/>
      <c r="I174" s="451"/>
      <c r="K174" s="453"/>
    </row>
    <row r="175" spans="2:11" ht="13.5" thickBot="1">
      <c r="B175" s="450" t="s">
        <v>595</v>
      </c>
      <c r="G175" s="448"/>
      <c r="H175" s="822">
        <f>+H171+H173</f>
        <v>-1953751.73</v>
      </c>
      <c r="I175" s="462">
        <f>+I171+I173</f>
        <v>2703873.8400000003</v>
      </c>
      <c r="K175" s="453"/>
    </row>
    <row r="176" spans="2:11">
      <c r="B176" s="447"/>
      <c r="G176" s="448"/>
      <c r="H176" s="451"/>
      <c r="I176" s="451"/>
      <c r="K176" s="453"/>
    </row>
    <row r="177" spans="2:11">
      <c r="B177" s="450" t="s">
        <v>596</v>
      </c>
      <c r="G177" s="448"/>
      <c r="H177" s="451"/>
      <c r="I177" s="451"/>
      <c r="K177" s="453"/>
    </row>
    <row r="178" spans="2:11">
      <c r="B178" s="447"/>
      <c r="C178" s="439" t="s">
        <v>597</v>
      </c>
      <c r="G178" s="448"/>
      <c r="H178" s="816">
        <f>SUMIF('Balance '!A:A,"791000*",'Balance '!F:F)-SUMIF('Balance '!A:A,"791000*",'Balance '!E:E)</f>
        <v>0</v>
      </c>
      <c r="I178" s="456"/>
      <c r="K178" s="453"/>
    </row>
    <row r="179" spans="2:11">
      <c r="B179" s="447"/>
      <c r="C179" s="439" t="s">
        <v>598</v>
      </c>
      <c r="G179" s="448"/>
      <c r="H179" s="816">
        <f>SUMIF('Balance '!A:A,"794000*",'Balance '!F:F)-SUMIF('Balance '!A:A,"794000*",'Balance '!E:E)</f>
        <v>0</v>
      </c>
      <c r="I179" s="456"/>
      <c r="K179" s="453"/>
    </row>
    <row r="180" spans="2:11">
      <c r="B180" s="447"/>
      <c r="C180" s="439" t="s">
        <v>599</v>
      </c>
      <c r="G180" s="448"/>
      <c r="H180" s="816">
        <f>SUMIF('Balance '!A:A,"795000*",'Balance '!F:F)-SUMIF('Balance '!A:A,"795000*",'Balance '!E:E)</f>
        <v>0</v>
      </c>
      <c r="I180" s="456"/>
      <c r="K180" s="453"/>
    </row>
    <row r="181" spans="2:11" ht="13.5" thickBot="1">
      <c r="B181" s="447"/>
      <c r="G181" s="448"/>
      <c r="H181" s="451"/>
      <c r="I181" s="451"/>
      <c r="K181" s="453"/>
    </row>
    <row r="182" spans="2:11" ht="13.5" thickBot="1">
      <c r="B182" s="450" t="s">
        <v>600</v>
      </c>
      <c r="G182" s="448"/>
      <c r="H182" s="819">
        <f>+SUM(H178:H180)</f>
        <v>0</v>
      </c>
      <c r="I182" s="462">
        <f>+SUM(I178:I179)</f>
        <v>0</v>
      </c>
      <c r="K182" s="453"/>
    </row>
    <row r="183" spans="2:11">
      <c r="B183" s="450"/>
      <c r="G183" s="448"/>
      <c r="H183" s="817"/>
      <c r="I183" s="459"/>
      <c r="K183" s="453"/>
    </row>
    <row r="184" spans="2:11" ht="13.5" thickBot="1">
      <c r="B184" s="450" t="s">
        <v>601</v>
      </c>
      <c r="G184" s="448"/>
      <c r="H184" s="451"/>
      <c r="I184" s="456"/>
      <c r="K184" s="453"/>
    </row>
    <row r="185" spans="2:11" ht="13.5" thickBot="1">
      <c r="B185" s="450"/>
      <c r="G185" s="448"/>
      <c r="H185" s="819">
        <f>+SUM(H183:H184)</f>
        <v>0</v>
      </c>
      <c r="I185" s="462">
        <f>+SUM(I183:I184)</f>
        <v>0</v>
      </c>
      <c r="K185" s="453"/>
    </row>
    <row r="186" spans="2:11" ht="13.5" thickBot="1">
      <c r="B186" s="466"/>
      <c r="C186" s="446"/>
      <c r="D186" s="446"/>
      <c r="E186" s="446"/>
      <c r="F186" s="446"/>
      <c r="G186" s="467"/>
      <c r="H186" s="468"/>
      <c r="I186" s="468"/>
      <c r="K186" s="453"/>
    </row>
    <row r="187" spans="2:11">
      <c r="B187" s="469"/>
      <c r="C187" s="470"/>
      <c r="D187" s="470"/>
      <c r="E187" s="470"/>
      <c r="F187" s="470"/>
      <c r="G187" s="471"/>
      <c r="H187" s="472"/>
      <c r="I187" s="472"/>
      <c r="K187" s="453"/>
    </row>
    <row r="188" spans="2:11">
      <c r="B188" s="1007" t="s">
        <v>602</v>
      </c>
      <c r="C188" s="1008"/>
      <c r="D188" s="1008"/>
      <c r="E188" s="1008"/>
      <c r="F188" s="454"/>
      <c r="G188" s="448"/>
      <c r="H188" s="823">
        <f>+H98+H145+H175-H182-H185</f>
        <v>-1979445.65</v>
      </c>
      <c r="I188" s="473">
        <f>+I98+I145+I175-I182-I185</f>
        <v>2692888.39</v>
      </c>
      <c r="K188" s="453"/>
    </row>
    <row r="189" spans="2:11">
      <c r="B189" s="1007" t="s">
        <v>603</v>
      </c>
      <c r="C189" s="1008"/>
      <c r="D189" s="1008"/>
      <c r="E189" s="1008"/>
      <c r="F189" s="461"/>
      <c r="G189" s="458"/>
      <c r="H189" s="823"/>
      <c r="I189" s="473"/>
      <c r="K189" s="453"/>
    </row>
    <row r="190" spans="2:11" ht="13.5" thickBot="1">
      <c r="B190" s="466"/>
      <c r="C190" s="446"/>
      <c r="D190" s="446"/>
      <c r="E190" s="446"/>
      <c r="F190" s="446"/>
      <c r="G190" s="467"/>
      <c r="H190" s="824"/>
      <c r="I190" s="474"/>
      <c r="K190" s="453"/>
    </row>
    <row r="191" spans="2:11">
      <c r="G191" s="439" t="s">
        <v>604</v>
      </c>
      <c r="H191" s="475">
        <f>'Rappro Balance'!E11+'Rappro Balance'!E14</f>
        <v>-1979445.65</v>
      </c>
      <c r="I191" s="476">
        <v>2692888.3900000006</v>
      </c>
      <c r="K191" s="453"/>
    </row>
    <row r="192" spans="2:11">
      <c r="B192" s="439" t="s">
        <v>605</v>
      </c>
      <c r="G192" s="439" t="s">
        <v>141</v>
      </c>
      <c r="H192" s="475">
        <f>H188-H191</f>
        <v>0</v>
      </c>
      <c r="I192" s="477">
        <f>I188-I191</f>
        <v>0</v>
      </c>
      <c r="K192" s="453"/>
    </row>
    <row r="193" spans="1:11">
      <c r="G193" s="439" t="s">
        <v>340</v>
      </c>
      <c r="H193" s="825" t="str">
        <f>IF(ABS(H192)&gt;0.01,"ANOMALIE","OK")</f>
        <v>OK</v>
      </c>
      <c r="I193" s="478" t="str">
        <f>IF(ABS(I192)&gt;0.01,"ANOMALIE","OK")</f>
        <v>OK</v>
      </c>
    </row>
    <row r="195" spans="1:11" ht="13.5" thickBot="1"/>
    <row r="196" spans="1:11">
      <c r="E196" s="479"/>
      <c r="F196" s="480"/>
      <c r="G196" s="480"/>
      <c r="H196" s="481"/>
    </row>
    <row r="197" spans="1:11">
      <c r="E197" s="482"/>
      <c r="F197" s="1022" t="s">
        <v>606</v>
      </c>
      <c r="G197" s="1022"/>
      <c r="H197" s="483"/>
    </row>
    <row r="198" spans="1:11">
      <c r="E198" s="1020" t="s">
        <v>607</v>
      </c>
      <c r="F198" s="1021"/>
      <c r="G198" s="673">
        <v>12332201.93</v>
      </c>
      <c r="H198" s="483"/>
      <c r="K198" s="421" t="s">
        <v>608</v>
      </c>
    </row>
    <row r="199" spans="1:11" s="439" customFormat="1">
      <c r="A199" s="421"/>
      <c r="E199" s="1020" t="s">
        <v>609</v>
      </c>
      <c r="F199" s="1021"/>
      <c r="G199" s="130">
        <f>'Capitaux propres'!D26</f>
        <v>11465750.200000001</v>
      </c>
      <c r="H199" s="483"/>
      <c r="J199" s="421"/>
      <c r="K199" s="421"/>
    </row>
    <row r="200" spans="1:11" s="439" customFormat="1">
      <c r="A200" s="421"/>
      <c r="E200" s="1020" t="s">
        <v>610</v>
      </c>
      <c r="F200" s="1021"/>
      <c r="G200" s="176">
        <f>SUM(G198:G199)/2</f>
        <v>11898976.065000001</v>
      </c>
      <c r="H200" s="483"/>
      <c r="J200" s="421"/>
      <c r="K200" s="421"/>
    </row>
    <row r="201" spans="1:11" s="439" customFormat="1">
      <c r="A201" s="421"/>
      <c r="E201" s="482"/>
      <c r="H201" s="483"/>
      <c r="J201" s="421"/>
      <c r="K201" s="421"/>
    </row>
    <row r="202" spans="1:11" s="439" customFormat="1">
      <c r="A202" s="421"/>
      <c r="E202" s="1020" t="s">
        <v>611</v>
      </c>
      <c r="F202" s="1021"/>
      <c r="G202" s="484">
        <f>H73</f>
        <v>25693.920000000002</v>
      </c>
      <c r="H202" s="483"/>
      <c r="J202" s="421"/>
      <c r="K202" s="421"/>
    </row>
    <row r="203" spans="1:11" s="439" customFormat="1">
      <c r="A203" s="421"/>
      <c r="E203" s="1020" t="s">
        <v>612</v>
      </c>
      <c r="F203" s="1021"/>
      <c r="G203" s="485">
        <f>G202/G200</f>
        <v>2.1593387413877448E-3</v>
      </c>
      <c r="H203" s="483"/>
      <c r="J203" s="421"/>
      <c r="K203" s="421"/>
    </row>
    <row r="204" spans="1:11" s="439" customFormat="1" ht="13.5" thickBot="1">
      <c r="A204" s="421"/>
      <c r="E204" s="486"/>
      <c r="F204" s="487"/>
      <c r="G204" s="487"/>
      <c r="H204" s="488"/>
      <c r="J204" s="421"/>
      <c r="K204" s="421"/>
    </row>
  </sheetData>
  <mergeCells count="24">
    <mergeCell ref="E199:F199"/>
    <mergeCell ref="E200:F200"/>
    <mergeCell ref="E202:F202"/>
    <mergeCell ref="E203:F203"/>
    <mergeCell ref="B141:G141"/>
    <mergeCell ref="B171:G171"/>
    <mergeCell ref="B188:E188"/>
    <mergeCell ref="B189:E189"/>
    <mergeCell ref="F197:G197"/>
    <mergeCell ref="E198:F198"/>
    <mergeCell ref="B92:G92"/>
    <mergeCell ref="B1:D1"/>
    <mergeCell ref="B3:I3"/>
    <mergeCell ref="B4:I4"/>
    <mergeCell ref="B5:I5"/>
    <mergeCell ref="H9:H10"/>
    <mergeCell ref="I9:I10"/>
    <mergeCell ref="B49:G49"/>
    <mergeCell ref="B51:F51"/>
    <mergeCell ref="B62:G62"/>
    <mergeCell ref="B66:F66"/>
    <mergeCell ref="B73:F73"/>
    <mergeCell ref="B9:E10"/>
    <mergeCell ref="F9:F10"/>
  </mergeCells>
  <pageMargins left="0.78740157499999996" right="0.78740157499999996" top="0.984251969" bottom="0.984251969" header="0.4921259845" footer="0.4921259845"/>
  <pageSetup paperSize="9" scale="26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6F93-1A44-4020-A188-BC545D149FCC}">
  <sheetPr>
    <pageSetUpPr fitToPage="1"/>
  </sheetPr>
  <dimension ref="B1:J40"/>
  <sheetViews>
    <sheetView view="pageBreakPreview" zoomScale="110" zoomScaleNormal="100" zoomScaleSheetLayoutView="110" workbookViewId="0"/>
  </sheetViews>
  <sheetFormatPr defaultColWidth="11.42578125" defaultRowHeight="12.75"/>
  <cols>
    <col min="1" max="1" width="1.140625" style="100" customWidth="1"/>
    <col min="2" max="2" width="60.5703125" style="100" customWidth="1"/>
    <col min="3" max="3" width="4.140625" style="100" customWidth="1"/>
    <col min="4" max="5" width="17.7109375" style="494" customWidth="1"/>
    <col min="6" max="6" width="17.7109375" style="100" customWidth="1"/>
    <col min="7" max="7" width="1.85546875" style="100" customWidth="1"/>
    <col min="8" max="8" width="12.140625" style="100" bestFit="1" customWidth="1"/>
    <col min="9" max="9" width="11.42578125" style="100"/>
    <col min="10" max="10" width="15.85546875" style="100" bestFit="1" customWidth="1"/>
    <col min="11" max="16384" width="11.42578125" style="100"/>
  </cols>
  <sheetData>
    <row r="1" spans="2:10" s="490" customFormat="1" ht="15.75">
      <c r="B1" s="489" t="str">
        <f>'Créances_&amp;_dettes'!B1</f>
        <v>SANCY - SLP</v>
      </c>
      <c r="D1" s="491" t="s">
        <v>613</v>
      </c>
      <c r="E1" s="492"/>
      <c r="F1" s="493">
        <f>Sommaire!C1</f>
        <v>46022</v>
      </c>
    </row>
    <row r="2" spans="2:10" ht="15">
      <c r="B2" s="426"/>
    </row>
    <row r="4" spans="2:10" ht="15">
      <c r="B4" s="1259" t="s">
        <v>58</v>
      </c>
      <c r="C4" s="1260"/>
      <c r="D4" s="1261">
        <f>F1</f>
        <v>46022</v>
      </c>
      <c r="E4" s="1261">
        <v>45657</v>
      </c>
      <c r="F4" s="1260" t="s">
        <v>614</v>
      </c>
      <c r="H4" s="100" t="s">
        <v>615</v>
      </c>
    </row>
    <row r="5" spans="2:10">
      <c r="B5" s="1262" t="s">
        <v>616</v>
      </c>
      <c r="C5" s="1263" t="s">
        <v>617</v>
      </c>
      <c r="D5" s="1264">
        <f>+D6+D7</f>
        <v>15201268.82</v>
      </c>
      <c r="E5" s="1264">
        <f>SUM(E6:E7)</f>
        <v>15201268.82</v>
      </c>
      <c r="F5" s="1264">
        <f>D5-E5</f>
        <v>0</v>
      </c>
      <c r="H5" s="100" t="s">
        <v>618</v>
      </c>
      <c r="J5" s="495"/>
    </row>
    <row r="6" spans="2:10">
      <c r="B6" s="677" t="s">
        <v>619</v>
      </c>
      <c r="C6" s="654" t="s">
        <v>617</v>
      </c>
      <c r="D6" s="655">
        <f>SUMIF('Balance '!A:A,"1011*",'Balance '!F:F)-SUMIF('Balance '!A:A,"1011*",'Balance '!E:E)</f>
        <v>15380560</v>
      </c>
      <c r="E6" s="655">
        <v>15380560</v>
      </c>
      <c r="F6" s="656">
        <f>D6-E6</f>
        <v>0</v>
      </c>
      <c r="H6" s="496"/>
    </row>
    <row r="7" spans="2:10">
      <c r="B7" s="1265" t="s">
        <v>620</v>
      </c>
      <c r="C7" s="907" t="s">
        <v>621</v>
      </c>
      <c r="D7" s="908">
        <f>-(SUMIF('Balance '!A:A,"1019*",'Balance '!E:E)+SUMIF('Balance '!A:A,"1021*",'Balance '!E:E)-SUMIF('Balance '!A:A,"1019*",'Balance '!F:F)-SUMIF('Balance '!A:A,"1021*",'Balance '!F:F))</f>
        <v>-179291.18</v>
      </c>
      <c r="E7" s="908">
        <v>-179291.18</v>
      </c>
      <c r="F7" s="909">
        <f>D7-E7</f>
        <v>0</v>
      </c>
      <c r="H7" s="496"/>
    </row>
    <row r="8" spans="2:10" hidden="1">
      <c r="B8" s="1266" t="s">
        <v>622</v>
      </c>
      <c r="C8" s="657" t="s">
        <v>617</v>
      </c>
      <c r="D8" s="658"/>
      <c r="E8" s="658"/>
      <c r="F8" s="910"/>
      <c r="H8" s="496"/>
    </row>
    <row r="9" spans="2:10" ht="15">
      <c r="B9" s="1262" t="s">
        <v>623</v>
      </c>
      <c r="C9" s="1263" t="s">
        <v>624</v>
      </c>
      <c r="D9" s="1264">
        <f>SUM(D10:D11)</f>
        <v>-81306.289999999994</v>
      </c>
      <c r="E9" s="1264">
        <f>SUM(E10:E11)</f>
        <v>-55612.369999999995</v>
      </c>
      <c r="F9" s="1264">
        <f>+D9-E9</f>
        <v>-25693.919999999998</v>
      </c>
      <c r="H9" s="615" t="s">
        <v>440</v>
      </c>
    </row>
    <row r="10" spans="2:10">
      <c r="B10" s="677" t="s">
        <v>625</v>
      </c>
      <c r="C10" s="654" t="s">
        <v>624</v>
      </c>
      <c r="D10" s="659">
        <f>Résultat!H98</f>
        <v>-25693.920000000002</v>
      </c>
      <c r="E10" s="659">
        <v>-10985.45</v>
      </c>
      <c r="F10" s="656">
        <f>D10-E10</f>
        <v>-14708.470000000001</v>
      </c>
      <c r="H10" s="497"/>
    </row>
    <row r="11" spans="2:10">
      <c r="B11" s="677" t="s">
        <v>626</v>
      </c>
      <c r="C11" s="654" t="s">
        <v>624</v>
      </c>
      <c r="D11" s="656">
        <f>+E11+E10</f>
        <v>-55612.369999999995</v>
      </c>
      <c r="E11" s="656">
        <v>-44626.92</v>
      </c>
      <c r="F11" s="656">
        <f t="shared" ref="F11:F18" si="0">D11-E11</f>
        <v>-10985.449999999997</v>
      </c>
      <c r="H11" s="496"/>
    </row>
    <row r="12" spans="2:10">
      <c r="B12" s="678" t="s">
        <v>627</v>
      </c>
      <c r="C12" s="654"/>
      <c r="D12" s="660">
        <f>SUM(D13:D14)</f>
        <v>0</v>
      </c>
      <c r="E12" s="660">
        <f>SUM(E13:E14)</f>
        <v>0</v>
      </c>
      <c r="F12" s="656">
        <f t="shared" si="0"/>
        <v>0</v>
      </c>
      <c r="H12" s="496"/>
    </row>
    <row r="13" spans="2:10">
      <c r="B13" s="677" t="s">
        <v>628</v>
      </c>
      <c r="C13" s="654" t="s">
        <v>624</v>
      </c>
      <c r="D13" s="659">
        <f>Résultat!H145</f>
        <v>0</v>
      </c>
      <c r="E13" s="661"/>
      <c r="F13" s="656">
        <f t="shared" si="0"/>
        <v>0</v>
      </c>
      <c r="H13" s="496"/>
    </row>
    <row r="14" spans="2:10" ht="12.95" customHeight="1">
      <c r="B14" s="677" t="s">
        <v>629</v>
      </c>
      <c r="C14" s="654" t="s">
        <v>624</v>
      </c>
      <c r="D14" s="659">
        <f>E13+E14</f>
        <v>0</v>
      </c>
      <c r="E14" s="659"/>
      <c r="F14" s="656">
        <f t="shared" si="0"/>
        <v>0</v>
      </c>
      <c r="H14" s="496"/>
    </row>
    <row r="15" spans="2:10" ht="12.95" customHeight="1">
      <c r="B15" s="678" t="s">
        <v>630</v>
      </c>
      <c r="C15" s="654"/>
      <c r="D15" s="660">
        <f>SUM(D16:D17)</f>
        <v>-3633212.3300000005</v>
      </c>
      <c r="E15" s="660">
        <f>SUM(E16:E17)</f>
        <v>-1679460.6000000006</v>
      </c>
      <c r="F15" s="656">
        <f t="shared" si="0"/>
        <v>-1953751.73</v>
      </c>
      <c r="H15" s="496"/>
    </row>
    <row r="16" spans="2:10" ht="12.95" customHeight="1">
      <c r="B16" s="677" t="s">
        <v>631</v>
      </c>
      <c r="C16" s="654" t="s">
        <v>624</v>
      </c>
      <c r="D16" s="659">
        <f>+Résultat!H175</f>
        <v>-1953751.73</v>
      </c>
      <c r="E16" s="661">
        <v>2703873.84</v>
      </c>
      <c r="F16" s="656">
        <f t="shared" si="0"/>
        <v>-4657625.57</v>
      </c>
      <c r="H16" s="496"/>
    </row>
    <row r="17" spans="2:10" ht="12.95" customHeight="1">
      <c r="B17" s="677" t="s">
        <v>632</v>
      </c>
      <c r="C17" s="654" t="s">
        <v>624</v>
      </c>
      <c r="D17" s="656">
        <f>+E17+E16</f>
        <v>-1679460.6000000006</v>
      </c>
      <c r="E17" s="659">
        <v>-4383334.4400000004</v>
      </c>
      <c r="F17" s="656">
        <f t="shared" si="0"/>
        <v>2703873.84</v>
      </c>
      <c r="H17" s="496"/>
    </row>
    <row r="18" spans="2:10">
      <c r="B18" s="1267" t="s">
        <v>633</v>
      </c>
      <c r="C18" s="907" t="s">
        <v>624</v>
      </c>
      <c r="D18" s="909"/>
      <c r="E18" s="909"/>
      <c r="F18" s="656">
        <f t="shared" si="0"/>
        <v>0</v>
      </c>
      <c r="H18" s="496"/>
    </row>
    <row r="19" spans="2:10">
      <c r="B19" s="1268" t="s">
        <v>634</v>
      </c>
      <c r="C19" s="1263" t="s">
        <v>621</v>
      </c>
      <c r="D19" s="1264">
        <f>SUM(D20:D23)</f>
        <v>0</v>
      </c>
      <c r="E19" s="1264">
        <f>SUM(E20:E23)</f>
        <v>0</v>
      </c>
      <c r="F19" s="1264">
        <f t="shared" ref="F19:F25" si="1">D19-E19</f>
        <v>0</v>
      </c>
      <c r="H19" s="496"/>
    </row>
    <row r="20" spans="2:10">
      <c r="B20" s="679" t="s">
        <v>635</v>
      </c>
      <c r="C20" s="654" t="s">
        <v>621</v>
      </c>
      <c r="D20" s="661"/>
      <c r="E20" s="661"/>
      <c r="F20" s="660">
        <f t="shared" si="1"/>
        <v>0</v>
      </c>
      <c r="H20" s="496"/>
    </row>
    <row r="21" spans="2:10">
      <c r="B21" s="662" t="s">
        <v>636</v>
      </c>
      <c r="C21" s="654" t="s">
        <v>621</v>
      </c>
      <c r="D21" s="661"/>
      <c r="E21" s="661"/>
      <c r="F21" s="656">
        <f>D21-E21</f>
        <v>0</v>
      </c>
      <c r="H21" s="496"/>
    </row>
    <row r="22" spans="2:10">
      <c r="B22" s="679" t="s">
        <v>637</v>
      </c>
      <c r="C22" s="654" t="s">
        <v>621</v>
      </c>
      <c r="D22" s="661"/>
      <c r="E22" s="661"/>
      <c r="F22" s="660">
        <f t="shared" si="1"/>
        <v>0</v>
      </c>
      <c r="H22" s="496"/>
    </row>
    <row r="23" spans="2:10">
      <c r="B23" s="679" t="s">
        <v>638</v>
      </c>
      <c r="C23" s="654" t="s">
        <v>621</v>
      </c>
      <c r="D23" s="661"/>
      <c r="E23" s="661"/>
      <c r="F23" s="660">
        <f t="shared" si="1"/>
        <v>0</v>
      </c>
      <c r="H23" s="496"/>
    </row>
    <row r="24" spans="2:10" ht="25.5" hidden="1">
      <c r="B24" s="1266" t="s">
        <v>639</v>
      </c>
      <c r="C24" s="1269" t="s">
        <v>624</v>
      </c>
      <c r="D24" s="1270"/>
      <c r="E24" s="1270"/>
      <c r="F24" s="1270">
        <f t="shared" si="1"/>
        <v>0</v>
      </c>
      <c r="H24" s="496"/>
    </row>
    <row r="25" spans="2:10">
      <c r="B25" s="1271" t="s">
        <v>640</v>
      </c>
      <c r="C25" s="1272" t="s">
        <v>624</v>
      </c>
      <c r="D25" s="1273">
        <f>SUM(D30,D31)</f>
        <v>-21000</v>
      </c>
      <c r="E25" s="1273">
        <v>-21000</v>
      </c>
      <c r="F25" s="1274">
        <f t="shared" si="1"/>
        <v>0</v>
      </c>
      <c r="H25" s="496"/>
    </row>
    <row r="26" spans="2:10">
      <c r="B26" s="1275" t="s">
        <v>641</v>
      </c>
      <c r="C26" s="911" t="s">
        <v>642</v>
      </c>
      <c r="D26" s="912">
        <f>D25+D19+D9+D5+D12+D15+D18</f>
        <v>11465750.200000001</v>
      </c>
      <c r="E26" s="912">
        <f>E25+E9+E19+E5+E15</f>
        <v>13445195.850000001</v>
      </c>
      <c r="F26" s="912">
        <f>D26-E26</f>
        <v>-1979445.6500000004</v>
      </c>
      <c r="H26" s="496"/>
    </row>
    <row r="27" spans="2:10">
      <c r="D27" s="498"/>
      <c r="E27" s="498"/>
      <c r="F27" s="499"/>
      <c r="H27" s="496"/>
      <c r="J27" s="16"/>
    </row>
    <row r="28" spans="2:10">
      <c r="D28" s="498"/>
      <c r="E28" s="498"/>
      <c r="F28" s="499"/>
      <c r="H28" s="496"/>
      <c r="J28" s="648"/>
    </row>
    <row r="29" spans="2:10">
      <c r="B29" s="100" t="s">
        <v>643</v>
      </c>
      <c r="D29" s="498"/>
      <c r="E29" s="498"/>
      <c r="F29" s="499"/>
      <c r="H29" s="496"/>
    </row>
    <row r="30" spans="2:10">
      <c r="B30" s="500" t="s">
        <v>644</v>
      </c>
      <c r="D30" s="498">
        <f>SUMIF('Balance '!A:A,"13*",'Balance '!F:F)-SUMIF('Balance '!A:A,"13*",'Balance '!E:E)</f>
        <v>-21000</v>
      </c>
      <c r="E30" s="498"/>
      <c r="F30" s="499"/>
      <c r="H30" s="496"/>
    </row>
    <row r="31" spans="2:10">
      <c r="B31" s="500" t="s">
        <v>645</v>
      </c>
      <c r="D31" s="498">
        <f>SUMIF('Balance '!A:A,"1031*",'Balance '!F:F)-SUMIF('Balance '!A:A,"1031*",'Balance '!E:E)</f>
        <v>0</v>
      </c>
      <c r="E31" s="498"/>
      <c r="F31" s="499"/>
      <c r="H31" s="496"/>
    </row>
    <row r="32" spans="2:10">
      <c r="D32" s="498"/>
      <c r="E32" s="498"/>
      <c r="F32" s="499"/>
      <c r="H32" s="496"/>
    </row>
    <row r="33" spans="2:8">
      <c r="D33" s="498"/>
      <c r="E33" s="498"/>
      <c r="F33" s="499"/>
      <c r="H33" s="496"/>
    </row>
    <row r="34" spans="2:8">
      <c r="B34" s="501" t="s">
        <v>646</v>
      </c>
      <c r="C34" s="502"/>
      <c r="D34" s="503">
        <f>Inventaire!C7</f>
        <v>11465750.199999999</v>
      </c>
      <c r="E34" s="504">
        <v>13445195.85</v>
      </c>
      <c r="F34" s="505">
        <f>+D34-E34</f>
        <v>-1979445.6500000004</v>
      </c>
      <c r="H34" s="496"/>
    </row>
    <row r="35" spans="2:8">
      <c r="B35" s="501" t="s">
        <v>72</v>
      </c>
      <c r="C35" s="502"/>
      <c r="D35" s="191">
        <f>D26-D34</f>
        <v>0</v>
      </c>
      <c r="E35" s="506">
        <f>E26-E34</f>
        <v>0</v>
      </c>
      <c r="F35" s="506">
        <f>ROUND(F26-F34,2)</f>
        <v>0</v>
      </c>
    </row>
    <row r="36" spans="2:8">
      <c r="B36" s="614" t="s">
        <v>647</v>
      </c>
      <c r="D36" s="507" t="str">
        <f>+IF(ABS(D35)&lt;0.01,"OK","ANOMALIE")</f>
        <v>OK</v>
      </c>
      <c r="E36" s="507" t="str">
        <f>+IF(ABS(E35)&lt;0.01,"OK","ANOMALIE")</f>
        <v>OK</v>
      </c>
      <c r="F36" s="507" t="str">
        <f>+IF(ABS(F35)&lt;0.01,"OK","ANOMALIE")</f>
        <v>OK</v>
      </c>
    </row>
    <row r="37" spans="2:8">
      <c r="D37" s="611"/>
    </row>
    <row r="38" spans="2:8">
      <c r="B38" s="612" t="s">
        <v>72</v>
      </c>
      <c r="D38" s="613">
        <f>+D35+Inventaire!L30</f>
        <v>-3633212.33</v>
      </c>
    </row>
    <row r="39" spans="2:8">
      <c r="B39" s="614" t="s">
        <v>648</v>
      </c>
      <c r="D39" s="507" t="str">
        <f>IF(D36="OK","OK",+IF(D38&lt;0.0000001,"OK","ANOMALIE"))</f>
        <v>OK</v>
      </c>
    </row>
    <row r="40" spans="2:8">
      <c r="D40" s="508"/>
    </row>
  </sheetData>
  <pageMargins left="0.78740157499999996" right="0.78740157499999996" top="0.984251969" bottom="0.984251969" header="0.4921259845" footer="0.4921259845"/>
  <pageSetup paperSize="9" scale="72" orientation="portrait" r:id="rId1"/>
  <headerFooter alignWithMargins="0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9">
    <pageSetUpPr fitToPage="1"/>
  </sheetPr>
  <dimension ref="B1:G17"/>
  <sheetViews>
    <sheetView view="pageBreakPreview" zoomScaleNormal="100" zoomScaleSheetLayoutView="100" workbookViewId="0">
      <selection activeCell="F10" sqref="F10"/>
    </sheetView>
  </sheetViews>
  <sheetFormatPr defaultColWidth="11.42578125" defaultRowHeight="12.75"/>
  <cols>
    <col min="1" max="1" width="2" customWidth="1"/>
    <col min="2" max="2" width="32.140625" customWidth="1"/>
    <col min="3" max="3" width="18.140625" customWidth="1"/>
    <col min="4" max="4" width="13.140625" customWidth="1"/>
    <col min="5" max="5" width="32.140625" customWidth="1"/>
    <col min="6" max="6" width="17" style="16" customWidth="1"/>
    <col min="7" max="7" width="15.140625" customWidth="1"/>
    <col min="8" max="8" width="1.140625" customWidth="1"/>
  </cols>
  <sheetData>
    <row r="1" spans="2:7" ht="15">
      <c r="B1" s="30" t="str">
        <f>+Inventaire!B1</f>
        <v>SANCY - SLP</v>
      </c>
      <c r="D1" s="18" t="s">
        <v>649</v>
      </c>
      <c r="F1" s="29">
        <v>46022</v>
      </c>
    </row>
    <row r="2" spans="2:7" ht="15">
      <c r="B2" s="30"/>
      <c r="D2" s="18"/>
      <c r="F2" s="29"/>
    </row>
    <row r="3" spans="2:7">
      <c r="B3" s="39"/>
      <c r="C3" s="138"/>
      <c r="D3" s="39"/>
      <c r="E3" s="39"/>
      <c r="F3" s="67"/>
      <c r="G3" s="39"/>
    </row>
    <row r="4" spans="2:7">
      <c r="D4" s="39"/>
      <c r="E4" s="39"/>
      <c r="F4" s="67"/>
      <c r="G4" s="39"/>
    </row>
    <row r="5" spans="2:7">
      <c r="B5" s="1276" t="s">
        <v>650</v>
      </c>
      <c r="C5" s="1277"/>
      <c r="D5" s="1277"/>
      <c r="E5" s="1277"/>
      <c r="F5" s="1277"/>
      <c r="G5" s="1278"/>
    </row>
    <row r="6" spans="2:7">
      <c r="B6" s="1279"/>
      <c r="C6" s="1280" t="s">
        <v>651</v>
      </c>
      <c r="D6" s="1281"/>
      <c r="E6" s="1282"/>
      <c r="F6" s="1283" t="s">
        <v>652</v>
      </c>
      <c r="G6" s="1284"/>
    </row>
    <row r="7" spans="2:7" ht="38.25">
      <c r="B7" s="1109" t="s">
        <v>58</v>
      </c>
      <c r="C7" s="1109" t="s">
        <v>653</v>
      </c>
      <c r="D7" s="1109" t="s">
        <v>654</v>
      </c>
      <c r="E7" s="1109" t="s">
        <v>58</v>
      </c>
      <c r="F7" s="1109" t="s">
        <v>653</v>
      </c>
      <c r="G7" s="1109" t="s">
        <v>654</v>
      </c>
    </row>
    <row r="8" spans="2:7">
      <c r="B8" s="663"/>
      <c r="C8" s="663"/>
      <c r="D8" s="663"/>
      <c r="E8" s="663"/>
      <c r="F8" s="663"/>
      <c r="G8" s="663"/>
    </row>
    <row r="9" spans="2:7">
      <c r="B9" s="627" t="s">
        <v>655</v>
      </c>
      <c r="C9" s="628">
        <f>SUMIF('Balance '!A:A,"51111100*",'Balance '!E:E)-SUMIF('Balance '!A:A,"5111110*",'Balance '!F:F)</f>
        <v>109211.49</v>
      </c>
      <c r="D9" s="665"/>
      <c r="E9" s="627" t="s">
        <v>656</v>
      </c>
      <c r="F9" s="664">
        <v>109211.49</v>
      </c>
      <c r="G9" s="616"/>
    </row>
    <row r="10" spans="2:7">
      <c r="B10" s="663"/>
      <c r="C10" s="633"/>
      <c r="D10" s="629"/>
      <c r="E10" s="663"/>
      <c r="F10" s="633"/>
      <c r="G10" s="666"/>
    </row>
    <row r="11" spans="2:7">
      <c r="B11" s="1239" t="s">
        <v>216</v>
      </c>
      <c r="C11" s="1285">
        <f>SUM(C9)</f>
        <v>109211.49</v>
      </c>
      <c r="D11" s="1285"/>
      <c r="E11" s="1286" t="s">
        <v>216</v>
      </c>
      <c r="F11" s="1285">
        <f>SUM(F9:F10)</f>
        <v>109211.49</v>
      </c>
      <c r="G11" s="1208"/>
    </row>
    <row r="12" spans="2:7">
      <c r="B12" s="1287" t="s">
        <v>657</v>
      </c>
      <c r="C12" s="1288">
        <f>F11-C11</f>
        <v>0</v>
      </c>
      <c r="D12" s="39"/>
      <c r="E12" s="39"/>
      <c r="F12" s="135"/>
      <c r="G12" s="39"/>
    </row>
    <row r="13" spans="2:7">
      <c r="C13" s="45" t="str">
        <f>IF(C12=0,"OK","ANOMALIE")</f>
        <v>OK</v>
      </c>
      <c r="D13" s="171"/>
    </row>
    <row r="14" spans="2:7">
      <c r="C14" s="45"/>
      <c r="D14" s="171"/>
    </row>
    <row r="15" spans="2:7">
      <c r="C15" s="45"/>
      <c r="D15" s="171"/>
    </row>
    <row r="17" spans="2:3">
      <c r="B17" s="1289" t="s">
        <v>658</v>
      </c>
      <c r="C17" s="1290">
        <f>C11</f>
        <v>109211.49</v>
      </c>
    </row>
  </sheetData>
  <mergeCells count="1">
    <mergeCell ref="B5:G5"/>
  </mergeCells>
  <phoneticPr fontId="0" type="noConversion"/>
  <pageMargins left="0.78740157499999996" right="0.78740157499999996" top="0.984251969" bottom="0.984251969" header="0.4921259845" footer="0.4921259845"/>
  <pageSetup paperSize="9" scale="6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4">
    <pageSetUpPr fitToPage="1"/>
  </sheetPr>
  <dimension ref="B1:K33"/>
  <sheetViews>
    <sheetView view="pageBreakPreview" topLeftCell="A8" zoomScaleNormal="100" zoomScaleSheetLayoutView="100" workbookViewId="0">
      <selection activeCell="K23" sqref="K23"/>
    </sheetView>
  </sheetViews>
  <sheetFormatPr defaultColWidth="11.42578125" defaultRowHeight="12.75"/>
  <cols>
    <col min="1" max="1" width="1.140625" customWidth="1"/>
    <col min="2" max="2" width="14.140625" customWidth="1"/>
    <col min="3" max="3" width="34.140625" customWidth="1"/>
    <col min="4" max="4" width="18.42578125" bestFit="1" customWidth="1"/>
    <col min="5" max="5" width="17.85546875" customWidth="1"/>
    <col min="6" max="6" width="19.5703125" customWidth="1"/>
    <col min="7" max="7" width="18.85546875" bestFit="1" customWidth="1"/>
    <col min="8" max="8" width="11.85546875" bestFit="1" customWidth="1"/>
    <col min="9" max="9" width="15.5703125" customWidth="1"/>
    <col min="10" max="10" width="15.85546875" bestFit="1" customWidth="1"/>
  </cols>
  <sheetData>
    <row r="1" spans="2:8" s="91" customFormat="1" ht="23.25" customHeight="1">
      <c r="B1" s="1023" t="str">
        <f>+Inventaire!B1</f>
        <v>SANCY - SLP</v>
      </c>
      <c r="C1" s="1024"/>
      <c r="D1" s="93" t="s">
        <v>659</v>
      </c>
      <c r="F1" s="94"/>
      <c r="G1" s="92">
        <f>Résultat!G1</f>
        <v>46022</v>
      </c>
    </row>
    <row r="2" spans="2:8">
      <c r="B2" s="1025"/>
      <c r="C2" s="1025"/>
      <c r="D2" s="8"/>
      <c r="G2" s="1"/>
      <c r="H2" s="1"/>
    </row>
    <row r="3" spans="2:8">
      <c r="B3" s="1"/>
      <c r="C3" s="1291"/>
      <c r="D3" s="8"/>
      <c r="F3" s="1236"/>
      <c r="G3" s="1"/>
      <c r="H3" s="1"/>
    </row>
    <row r="4" spans="2:8" s="9" customFormat="1" ht="21.75" customHeight="1">
      <c r="B4" s="1292" t="s">
        <v>660</v>
      </c>
      <c r="C4" s="1292" t="s">
        <v>661</v>
      </c>
      <c r="D4" s="1293" t="s">
        <v>662</v>
      </c>
      <c r="E4" s="1293" t="s">
        <v>663</v>
      </c>
      <c r="F4" s="1292" t="s">
        <v>27</v>
      </c>
      <c r="G4" s="1292" t="s">
        <v>664</v>
      </c>
      <c r="H4" s="126" t="s">
        <v>140</v>
      </c>
    </row>
    <row r="5" spans="2:8" s="9" customFormat="1" ht="16.5" customHeight="1">
      <c r="B5" s="1294"/>
      <c r="C5" s="192"/>
      <c r="D5" s="1295"/>
      <c r="E5" s="1295"/>
      <c r="F5" s="1296"/>
      <c r="G5" s="1296"/>
    </row>
    <row r="6" spans="2:8">
      <c r="B6" s="680" t="s">
        <v>665</v>
      </c>
      <c r="C6" s="10" t="s">
        <v>666</v>
      </c>
      <c r="D6" s="628">
        <f>SUMIF('Balance '!A:A,"1*",'Balance '!E:E)</f>
        <v>1935364.1500000001</v>
      </c>
      <c r="E6" s="667"/>
      <c r="F6" s="668"/>
      <c r="G6" s="669"/>
    </row>
    <row r="7" spans="2:8">
      <c r="B7" s="680"/>
      <c r="C7" s="10" t="s">
        <v>667</v>
      </c>
      <c r="D7" s="913">
        <f>SUMIF('Balance '!A:A,"1*",'Balance '!F:F)</f>
        <v>15380560</v>
      </c>
      <c r="E7" s="667"/>
      <c r="F7" s="668"/>
      <c r="G7" s="616"/>
    </row>
    <row r="8" spans="2:8">
      <c r="B8" s="680"/>
      <c r="C8" s="11" t="s">
        <v>668</v>
      </c>
      <c r="D8" s="628"/>
      <c r="E8" s="667">
        <f>D7-D6</f>
        <v>13445195.85</v>
      </c>
      <c r="F8" s="616"/>
      <c r="G8" s="616"/>
    </row>
    <row r="9" spans="2:8">
      <c r="B9" s="680" t="s">
        <v>669</v>
      </c>
      <c r="C9" s="10" t="s">
        <v>666</v>
      </c>
      <c r="D9" s="628">
        <f>SUMIF('Balance '!A:A,"6*",'Balance '!E:E)</f>
        <v>25693.920000000002</v>
      </c>
      <c r="E9" s="667"/>
      <c r="F9" s="616"/>
      <c r="G9" s="616"/>
    </row>
    <row r="10" spans="2:8">
      <c r="B10" s="680"/>
      <c r="C10" s="10" t="s">
        <v>667</v>
      </c>
      <c r="D10" s="913">
        <f>SUMIF('Balance '!A:A,"6*",'Balance '!F:F)</f>
        <v>1679460.6</v>
      </c>
      <c r="E10" s="667"/>
      <c r="F10" s="670"/>
      <c r="G10" s="616"/>
    </row>
    <row r="11" spans="2:8">
      <c r="B11" s="680"/>
      <c r="C11" s="11" t="s">
        <v>668</v>
      </c>
      <c r="D11" s="628"/>
      <c r="E11" s="667">
        <f>D10-D9</f>
        <v>1653766.6800000002</v>
      </c>
      <c r="F11" s="616"/>
      <c r="G11" s="616"/>
    </row>
    <row r="12" spans="2:8">
      <c r="B12" s="680" t="s">
        <v>670</v>
      </c>
      <c r="C12" s="10" t="s">
        <v>666</v>
      </c>
      <c r="D12" s="628">
        <f>SUMIF('Balance '!A:A,"7*",'Balance '!E:E)</f>
        <v>3633212.33</v>
      </c>
      <c r="E12" s="667"/>
      <c r="F12" s="616"/>
      <c r="G12" s="616"/>
    </row>
    <row r="13" spans="2:8">
      <c r="B13" s="680"/>
      <c r="C13" s="10" t="s">
        <v>667</v>
      </c>
      <c r="D13" s="913">
        <f>SUMIF('Balance '!A:A,"7*",'Balance '!F:F)</f>
        <v>0</v>
      </c>
      <c r="E13" s="667"/>
      <c r="F13" s="616"/>
      <c r="G13" s="616"/>
    </row>
    <row r="14" spans="2:8">
      <c r="B14" s="680"/>
      <c r="C14" s="11" t="s">
        <v>668</v>
      </c>
      <c r="D14" s="815"/>
      <c r="E14" s="667">
        <f>D13-D12</f>
        <v>-3633212.33</v>
      </c>
      <c r="F14" s="616"/>
      <c r="G14" s="616"/>
    </row>
    <row r="15" spans="2:8">
      <c r="B15" s="680"/>
      <c r="C15" s="10" t="s">
        <v>35</v>
      </c>
      <c r="D15" s="914">
        <f>E14+E11</f>
        <v>-1979445.65</v>
      </c>
      <c r="E15" s="915"/>
      <c r="F15" s="916"/>
      <c r="G15" s="916"/>
    </row>
    <row r="16" spans="2:8" s="1" customFormat="1">
      <c r="B16" s="1297" t="s">
        <v>89</v>
      </c>
      <c r="C16" s="1298"/>
      <c r="D16" s="1299"/>
      <c r="E16" s="1300">
        <f>SUM(E8:E15)</f>
        <v>11465750.199999999</v>
      </c>
      <c r="F16" s="1301">
        <f>+Inventaire!D44</f>
        <v>11465750.199999999</v>
      </c>
      <c r="G16" s="1302">
        <f>E16-F16</f>
        <v>0</v>
      </c>
      <c r="H16" s="48" t="str">
        <f>IF(ABS(G16)&lt;0.01,"OK","ANOMALIE")</f>
        <v>OK</v>
      </c>
    </row>
    <row r="17" spans="2:11" s="1" customFormat="1">
      <c r="B17" s="12"/>
      <c r="C17" s="12"/>
      <c r="D17" s="704"/>
      <c r="E17" s="5"/>
      <c r="F17" s="5"/>
      <c r="G17" s="4"/>
    </row>
    <row r="18" spans="2:11" s="9" customFormat="1" ht="21.75" customHeight="1">
      <c r="B18" s="1292" t="s">
        <v>660</v>
      </c>
      <c r="C18" s="1292" t="s">
        <v>661</v>
      </c>
      <c r="D18" s="1303" t="s">
        <v>662</v>
      </c>
      <c r="E18" s="1293" t="s">
        <v>663</v>
      </c>
      <c r="F18" s="1292" t="s">
        <v>27</v>
      </c>
      <c r="G18" s="1292" t="s">
        <v>664</v>
      </c>
    </row>
    <row r="19" spans="2:11">
      <c r="B19" s="680"/>
      <c r="C19" s="193"/>
      <c r="D19" s="1304"/>
      <c r="E19" s="194"/>
      <c r="F19" s="616"/>
      <c r="G19" s="195"/>
    </row>
    <row r="20" spans="2:11">
      <c r="B20" s="680" t="s">
        <v>671</v>
      </c>
      <c r="C20" s="196" t="s">
        <v>666</v>
      </c>
      <c r="D20" s="628">
        <f>SUMIF('Balance '!A:A,"3*",'Balance '!E:E)</f>
        <v>14999999.039999999</v>
      </c>
      <c r="E20" s="194"/>
      <c r="F20" s="668"/>
      <c r="G20" s="195"/>
      <c r="I20" s="1305" t="s">
        <v>672</v>
      </c>
      <c r="J20" s="1306"/>
    </row>
    <row r="21" spans="2:11">
      <c r="B21" s="680"/>
      <c r="C21" s="196" t="s">
        <v>667</v>
      </c>
      <c r="D21" s="913">
        <f>SUMIF('Balance '!A:A,"3*",'Balance '!F:F)</f>
        <v>3633212.33</v>
      </c>
      <c r="E21" s="194"/>
      <c r="F21" s="668"/>
      <c r="G21" s="195"/>
      <c r="I21" s="95" t="s">
        <v>673</v>
      </c>
      <c r="J21" s="32" t="s">
        <v>141</v>
      </c>
    </row>
    <row r="22" spans="2:11">
      <c r="B22" s="680"/>
      <c r="C22" s="11" t="s">
        <v>668</v>
      </c>
      <c r="D22" s="917"/>
      <c r="E22" s="667">
        <f>D20-D21</f>
        <v>11366786.709999999</v>
      </c>
      <c r="F22" s="667">
        <f>Inventaire!D34</f>
        <v>11366786.710000001</v>
      </c>
      <c r="G22" s="234">
        <f>E22-F22</f>
        <v>0</v>
      </c>
      <c r="I22" s="97">
        <f>+Inventaire!L27+Inventaire!M27</f>
        <v>-3633212.33</v>
      </c>
      <c r="J22" s="97">
        <f>G22+I22</f>
        <v>-3633212.33</v>
      </c>
      <c r="K22" s="48" t="str">
        <f>IF(ABS(J22)&lt;&gt;0.01,"OK","ANOMALIE")</f>
        <v>OK</v>
      </c>
    </row>
    <row r="23" spans="2:11">
      <c r="B23" s="680" t="s">
        <v>674</v>
      </c>
      <c r="C23" s="196" t="s">
        <v>666</v>
      </c>
      <c r="D23" s="628">
        <f>SUMIF('Balance '!A:A,"4*",'Balance '!E:E)</f>
        <v>0</v>
      </c>
      <c r="E23" s="194"/>
      <c r="F23" s="668"/>
      <c r="G23" s="195"/>
      <c r="I23" s="2"/>
    </row>
    <row r="24" spans="2:11">
      <c r="B24" s="680"/>
      <c r="C24" s="196" t="s">
        <v>667</v>
      </c>
      <c r="D24" s="913">
        <f>SUMIF('Balance '!A:A,"4*",'Balance '!F:F)</f>
        <v>10248</v>
      </c>
      <c r="E24" s="194"/>
      <c r="F24" s="668"/>
      <c r="G24" s="195"/>
    </row>
    <row r="25" spans="2:11">
      <c r="B25" s="680"/>
      <c r="C25" s="11" t="s">
        <v>668</v>
      </c>
      <c r="D25" s="917"/>
      <c r="E25" s="667">
        <f>D23-D24</f>
        <v>-10248</v>
      </c>
      <c r="F25" s="667">
        <f>Inventaire!D38+Inventaire!D40</f>
        <v>-10248</v>
      </c>
      <c r="G25" s="195">
        <f>F25-E25</f>
        <v>0</v>
      </c>
      <c r="H25" s="2"/>
    </row>
    <row r="26" spans="2:11">
      <c r="B26" s="680" t="s">
        <v>675</v>
      </c>
      <c r="C26" s="196" t="s">
        <v>666</v>
      </c>
      <c r="D26" s="628">
        <f>SUMIF('Balance '!A:A,"5*",'Balance '!E:E)</f>
        <v>109211.49</v>
      </c>
      <c r="E26" s="194"/>
      <c r="F26" s="668"/>
      <c r="G26" s="195"/>
    </row>
    <row r="27" spans="2:11">
      <c r="B27" s="680"/>
      <c r="C27" s="196" t="s">
        <v>667</v>
      </c>
      <c r="D27" s="913">
        <f>SUMIF('Balance '!A:A,"5*",'Balance '!F:F)</f>
        <v>0</v>
      </c>
      <c r="E27" s="194"/>
      <c r="F27" s="668"/>
      <c r="G27" s="195"/>
    </row>
    <row r="28" spans="2:11">
      <c r="B28" s="680"/>
      <c r="C28" s="11" t="s">
        <v>668</v>
      </c>
      <c r="D28" s="667"/>
      <c r="E28" s="197">
        <f>+D26-D27</f>
        <v>109211.49</v>
      </c>
      <c r="F28" s="671">
        <f>+Inventaire!D36</f>
        <v>109211.49</v>
      </c>
      <c r="G28" s="195">
        <f>F28-E28</f>
        <v>0</v>
      </c>
    </row>
    <row r="29" spans="2:11">
      <c r="B29" s="680"/>
      <c r="C29" s="193"/>
      <c r="D29" s="915"/>
      <c r="E29" s="194"/>
      <c r="F29" s="616"/>
      <c r="G29" s="195"/>
      <c r="I29" s="4"/>
    </row>
    <row r="30" spans="2:11" s="1" customFormat="1">
      <c r="B30" s="1297" t="s">
        <v>89</v>
      </c>
      <c r="C30" s="1307"/>
      <c r="D30" s="1308"/>
      <c r="E30" s="1300">
        <f>SUM(E22:E29)</f>
        <v>11465750.199999999</v>
      </c>
      <c r="F30" s="1285">
        <f>SUM(F20:F29)</f>
        <v>11465750.200000001</v>
      </c>
      <c r="G30" s="1309">
        <f>F30-E30</f>
        <v>0</v>
      </c>
      <c r="H30" s="47" t="str">
        <f>IF(ABS(G30)&lt;0.01,"OK","ANOMALIE")</f>
        <v>OK</v>
      </c>
      <c r="I30" s="65"/>
    </row>
    <row r="31" spans="2:11">
      <c r="H31" s="35"/>
    </row>
    <row r="32" spans="2:11">
      <c r="C32" s="39"/>
      <c r="D32" s="39"/>
      <c r="E32" s="23">
        <f>E16-E30</f>
        <v>0</v>
      </c>
      <c r="F32" t="s">
        <v>676</v>
      </c>
      <c r="G32" s="23">
        <f>G16+G30</f>
        <v>0</v>
      </c>
    </row>
    <row r="33" spans="3:7">
      <c r="C33" s="39"/>
      <c r="D33" s="39"/>
      <c r="E33" s="46" t="str">
        <f>IF(ABS(E32)&lt;0.01,"OK","ANOMALIE")</f>
        <v>OK</v>
      </c>
      <c r="F33" t="s">
        <v>340</v>
      </c>
      <c r="G33" s="46" t="str">
        <f>IF(ABS(G32)&lt;0.01,"OK","ANOMALIE")</f>
        <v>OK</v>
      </c>
    </row>
  </sheetData>
  <mergeCells count="3">
    <mergeCell ref="B1:C1"/>
    <mergeCell ref="B2:C2"/>
    <mergeCell ref="I20:J20"/>
  </mergeCells>
  <phoneticPr fontId="0" type="noConversion"/>
  <pageMargins left="0.78740157499999996" right="0.78740157499999996" top="0.984251969" bottom="0.984251969" header="0.4921259845" footer="0.4921259845"/>
  <pageSetup paperSize="9" scale="64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D057-CF7D-46CD-95ED-99F953A164B5}">
  <dimension ref="A1:F30"/>
  <sheetViews>
    <sheetView tabSelected="1" topLeftCell="A5" workbookViewId="0">
      <selection activeCell="I24" sqref="I24"/>
    </sheetView>
  </sheetViews>
  <sheetFormatPr defaultColWidth="11.42578125" defaultRowHeight="12.75"/>
  <cols>
    <col min="1" max="1" width="33.140625" style="814" bestFit="1" customWidth="1"/>
    <col min="2" max="2" width="34.5703125" style="511" bestFit="1" customWidth="1"/>
    <col min="3" max="6" width="13" style="511" bestFit="1" customWidth="1"/>
    <col min="7" max="16384" width="11.42578125" style="511"/>
  </cols>
  <sheetData>
    <row r="1" spans="1:6">
      <c r="A1" s="814" t="s">
        <v>677</v>
      </c>
    </row>
    <row r="3" spans="1:6">
      <c r="A3" s="814" t="s">
        <v>678</v>
      </c>
    </row>
    <row r="4" spans="1:6">
      <c r="A4" s="814" t="s">
        <v>679</v>
      </c>
      <c r="B4" s="511" t="s">
        <v>680</v>
      </c>
    </row>
    <row r="5" spans="1:6">
      <c r="A5" s="814" t="s">
        <v>113</v>
      </c>
      <c r="B5" s="511" t="s">
        <v>58</v>
      </c>
      <c r="C5" s="511" t="s">
        <v>681</v>
      </c>
      <c r="D5" s="511" t="s">
        <v>682</v>
      </c>
      <c r="E5" s="511" t="s">
        <v>683</v>
      </c>
      <c r="F5" s="511" t="s">
        <v>684</v>
      </c>
    </row>
    <row r="6" spans="1:6">
      <c r="A6" s="814" t="s">
        <v>685</v>
      </c>
      <c r="B6" s="511" t="s">
        <v>686</v>
      </c>
      <c r="C6" s="782">
        <v>0</v>
      </c>
      <c r="D6" s="782">
        <v>15379560</v>
      </c>
      <c r="E6" s="782">
        <v>0</v>
      </c>
      <c r="F6" s="782">
        <v>15379560</v>
      </c>
    </row>
    <row r="7" spans="1:6">
      <c r="A7" s="814" t="s">
        <v>687</v>
      </c>
      <c r="B7" s="511" t="s">
        <v>688</v>
      </c>
      <c r="C7" s="511">
        <v>0</v>
      </c>
      <c r="D7" s="782">
        <v>1000</v>
      </c>
      <c r="E7" s="511">
        <v>0</v>
      </c>
      <c r="F7" s="782">
        <v>1000</v>
      </c>
    </row>
    <row r="8" spans="1:6">
      <c r="A8" s="814" t="s">
        <v>689</v>
      </c>
      <c r="B8" s="511" t="s">
        <v>690</v>
      </c>
      <c r="C8" s="782">
        <v>55612.37</v>
      </c>
      <c r="D8" s="511">
        <v>0</v>
      </c>
      <c r="E8" s="782">
        <v>55612.37</v>
      </c>
      <c r="F8" s="511">
        <v>0</v>
      </c>
    </row>
    <row r="9" spans="1:6">
      <c r="A9" s="814" t="s">
        <v>691</v>
      </c>
      <c r="B9" s="511" t="s">
        <v>692</v>
      </c>
      <c r="C9" s="782">
        <v>4383334.4400000004</v>
      </c>
      <c r="D9" s="782">
        <v>2703873.84</v>
      </c>
      <c r="E9" s="782">
        <v>1679460.6</v>
      </c>
      <c r="F9" s="511">
        <v>0</v>
      </c>
    </row>
    <row r="10" spans="1:6">
      <c r="A10" s="814" t="s">
        <v>693</v>
      </c>
      <c r="B10" s="511" t="s">
        <v>694</v>
      </c>
      <c r="C10" s="782">
        <v>179279.52</v>
      </c>
      <c r="D10" s="511">
        <v>0</v>
      </c>
      <c r="E10" s="782">
        <v>179279.52</v>
      </c>
      <c r="F10" s="511">
        <v>0</v>
      </c>
    </row>
    <row r="11" spans="1:6">
      <c r="A11" s="814" t="s">
        <v>695</v>
      </c>
      <c r="B11" s="511" t="s">
        <v>696</v>
      </c>
      <c r="C11" s="511">
        <v>11.66</v>
      </c>
      <c r="D11" s="511">
        <v>0</v>
      </c>
      <c r="E11" s="511">
        <v>11.66</v>
      </c>
      <c r="F11" s="511">
        <v>0</v>
      </c>
    </row>
    <row r="12" spans="1:6">
      <c r="A12" s="814" t="s">
        <v>697</v>
      </c>
      <c r="B12" s="511" t="s">
        <v>698</v>
      </c>
      <c r="C12" s="782">
        <v>2703873.84</v>
      </c>
      <c r="D12" s="782">
        <v>2703873.84</v>
      </c>
      <c r="E12" s="511">
        <v>0</v>
      </c>
      <c r="F12" s="511">
        <v>0</v>
      </c>
    </row>
    <row r="13" spans="1:6">
      <c r="A13" s="814" t="s">
        <v>699</v>
      </c>
      <c r="B13" s="511" t="s">
        <v>700</v>
      </c>
      <c r="C13" s="782">
        <v>21000</v>
      </c>
      <c r="D13" s="511">
        <v>0</v>
      </c>
      <c r="E13" s="782">
        <v>21000</v>
      </c>
      <c r="F13" s="511">
        <v>0</v>
      </c>
    </row>
    <row r="14" spans="1:6">
      <c r="A14" s="814" t="s">
        <v>701</v>
      </c>
      <c r="B14" s="511" t="s">
        <v>702</v>
      </c>
      <c r="C14" s="782">
        <v>14999999.039999999</v>
      </c>
      <c r="D14" s="511">
        <v>0</v>
      </c>
      <c r="E14" s="782">
        <v>14999999.039999999</v>
      </c>
      <c r="F14" s="511">
        <v>0</v>
      </c>
    </row>
    <row r="15" spans="1:6">
      <c r="A15" s="814" t="s">
        <v>703</v>
      </c>
      <c r="B15" s="511" t="s">
        <v>704</v>
      </c>
      <c r="C15" s="782">
        <v>2901643.37</v>
      </c>
      <c r="D15" s="782">
        <v>6534855.7000000002</v>
      </c>
      <c r="E15" s="511">
        <v>0</v>
      </c>
      <c r="F15" s="782">
        <v>3633212.33</v>
      </c>
    </row>
    <row r="16" spans="1:6">
      <c r="A16" s="814" t="s">
        <v>705</v>
      </c>
      <c r="B16" s="511" t="s">
        <v>706</v>
      </c>
      <c r="C16" s="782">
        <v>6223005.8799999999</v>
      </c>
      <c r="D16" s="782">
        <v>6223005.8799999999</v>
      </c>
      <c r="E16" s="511">
        <v>0</v>
      </c>
      <c r="F16" s="782">
        <v>0</v>
      </c>
    </row>
    <row r="17" spans="1:6">
      <c r="A17" s="814" t="s">
        <v>707</v>
      </c>
      <c r="B17" s="511" t="s">
        <v>708</v>
      </c>
      <c r="C17" s="782">
        <v>6645</v>
      </c>
      <c r="D17" s="782">
        <v>8886</v>
      </c>
      <c r="E17" s="511">
        <v>0</v>
      </c>
      <c r="F17" s="782">
        <v>2241</v>
      </c>
    </row>
    <row r="18" spans="1:6">
      <c r="A18" s="814" t="s">
        <v>709</v>
      </c>
      <c r="B18" s="511" t="s">
        <v>710</v>
      </c>
      <c r="C18" s="782">
        <v>9798</v>
      </c>
      <c r="D18" s="782">
        <v>11445</v>
      </c>
      <c r="E18" s="511">
        <v>0</v>
      </c>
      <c r="F18" s="782">
        <v>1647</v>
      </c>
    </row>
    <row r="19" spans="1:6">
      <c r="A19" s="814" t="s">
        <v>711</v>
      </c>
      <c r="B19" s="511" t="s">
        <v>166</v>
      </c>
      <c r="C19" s="782">
        <v>19750.5</v>
      </c>
      <c r="D19" s="782">
        <v>26110.5</v>
      </c>
      <c r="E19" s="511">
        <v>0</v>
      </c>
      <c r="F19" s="782">
        <v>6360</v>
      </c>
    </row>
    <row r="20" spans="1:6">
      <c r="A20" s="814" t="s">
        <v>712</v>
      </c>
      <c r="B20" s="511" t="s">
        <v>542</v>
      </c>
      <c r="C20" s="511">
        <v>891.54</v>
      </c>
      <c r="D20" s="782">
        <v>891.54</v>
      </c>
      <c r="E20" s="511">
        <v>0</v>
      </c>
      <c r="F20" s="782">
        <v>0</v>
      </c>
    </row>
    <row r="21" spans="1:6">
      <c r="A21" s="814" t="s">
        <v>713</v>
      </c>
      <c r="B21" s="511" t="s">
        <v>416</v>
      </c>
      <c r="C21" s="782">
        <v>305.58</v>
      </c>
      <c r="D21" s="782">
        <v>305.58</v>
      </c>
      <c r="E21" s="782">
        <v>0</v>
      </c>
      <c r="F21" s="511">
        <v>0</v>
      </c>
    </row>
    <row r="22" spans="1:6">
      <c r="A22" s="814" t="s">
        <v>714</v>
      </c>
      <c r="B22" s="511" t="s">
        <v>16</v>
      </c>
      <c r="C22" s="782">
        <v>140575.41</v>
      </c>
      <c r="D22" s="782">
        <v>31363.919999999998</v>
      </c>
      <c r="E22" s="782">
        <v>109211.49</v>
      </c>
      <c r="F22" s="511">
        <v>0</v>
      </c>
    </row>
    <row r="23" spans="1:6">
      <c r="A23" s="814" t="s">
        <v>715</v>
      </c>
      <c r="B23" s="511" t="s">
        <v>716</v>
      </c>
      <c r="C23" s="782">
        <v>8745</v>
      </c>
      <c r="D23" s="782">
        <v>4353</v>
      </c>
      <c r="E23" s="782">
        <v>4392</v>
      </c>
      <c r="F23" s="511">
        <v>0</v>
      </c>
    </row>
    <row r="24" spans="1:6">
      <c r="A24" s="814" t="s">
        <v>717</v>
      </c>
      <c r="B24" s="511" t="s">
        <v>718</v>
      </c>
      <c r="C24" s="782">
        <v>13113</v>
      </c>
      <c r="D24" s="782">
        <v>6546</v>
      </c>
      <c r="E24" s="782">
        <v>6567</v>
      </c>
      <c r="F24" s="511">
        <v>0</v>
      </c>
    </row>
    <row r="25" spans="1:6">
      <c r="A25" s="814" t="s">
        <v>719</v>
      </c>
      <c r="B25" s="511" t="s">
        <v>381</v>
      </c>
      <c r="C25" s="782">
        <v>32160</v>
      </c>
      <c r="D25" s="782">
        <v>18720</v>
      </c>
      <c r="E25" s="782">
        <v>13440</v>
      </c>
      <c r="F25" s="511">
        <v>0</v>
      </c>
    </row>
    <row r="26" spans="1:6">
      <c r="A26" s="814" t="s">
        <v>720</v>
      </c>
      <c r="B26" s="511" t="s">
        <v>411</v>
      </c>
      <c r="C26" s="782">
        <v>305.58</v>
      </c>
      <c r="D26" s="511">
        <v>0</v>
      </c>
      <c r="E26" s="782">
        <v>305.58</v>
      </c>
      <c r="F26" s="511">
        <v>0</v>
      </c>
    </row>
    <row r="27" spans="1:6">
      <c r="A27" s="814" t="s">
        <v>721</v>
      </c>
      <c r="B27" s="511" t="s">
        <v>542</v>
      </c>
      <c r="C27" s="782">
        <v>1062.26</v>
      </c>
      <c r="D27" s="782">
        <v>891.54</v>
      </c>
      <c r="E27" s="782">
        <v>170.72</v>
      </c>
      <c r="F27" s="782">
        <v>0</v>
      </c>
    </row>
    <row r="28" spans="1:6">
      <c r="A28" s="814" t="s">
        <v>722</v>
      </c>
      <c r="B28" s="511" t="s">
        <v>546</v>
      </c>
      <c r="C28" s="782">
        <v>818.62</v>
      </c>
      <c r="D28" s="782">
        <v>0</v>
      </c>
      <c r="E28" s="511">
        <v>818.62</v>
      </c>
      <c r="F28" s="782">
        <v>0</v>
      </c>
    </row>
    <row r="29" spans="1:6">
      <c r="A29" s="814" t="s">
        <v>723</v>
      </c>
      <c r="B29" s="511" t="s">
        <v>413</v>
      </c>
      <c r="C29" s="782">
        <v>0</v>
      </c>
      <c r="D29" s="782">
        <v>1679460.6</v>
      </c>
      <c r="E29" s="782">
        <v>0</v>
      </c>
      <c r="F29" s="782">
        <v>1679460.6</v>
      </c>
    </row>
    <row r="30" spans="1:6">
      <c r="A30" s="814" t="s">
        <v>724</v>
      </c>
      <c r="B30" s="511" t="s">
        <v>725</v>
      </c>
      <c r="C30" s="782">
        <v>11078400.98</v>
      </c>
      <c r="D30" s="782">
        <v>7445188.6500000004</v>
      </c>
      <c r="E30" s="782">
        <v>3633212.33</v>
      </c>
      <c r="F30" s="5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f2f11d-43ed-4181-9932-6864ad410d8c">
      <Terms xmlns="http://schemas.microsoft.com/office/infopath/2007/PartnerControls"/>
    </lcf76f155ced4ddcb4097134ff3c332f>
    <TaxCatchAll xmlns="37218ea9-0b75-4012-92b8-01d003596ee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89F1DA1EC8B54CA0AF11F05F4C765F" ma:contentTypeVersion="21" ma:contentTypeDescription="Crée un document." ma:contentTypeScope="" ma:versionID="d736f79be593caae3a112933c791ad4e">
  <xsd:schema xmlns:xsd="http://www.w3.org/2001/XMLSchema" xmlns:xs="http://www.w3.org/2001/XMLSchema" xmlns:p="http://schemas.microsoft.com/office/2006/metadata/properties" xmlns:ns1="http://schemas.microsoft.com/sharepoint/v3" xmlns:ns2="2bf2f11d-43ed-4181-9932-6864ad410d8c" xmlns:ns3="37218ea9-0b75-4012-92b8-01d003596ee9" targetNamespace="http://schemas.microsoft.com/office/2006/metadata/properties" ma:root="true" ma:fieldsID="8ae82a03b216e9885234b242cf0adffc" ns1:_="" ns2:_="" ns3:_="">
    <xsd:import namespace="http://schemas.microsoft.com/sharepoint/v3"/>
    <xsd:import namespace="2bf2f11d-43ed-4181-9932-6864ad410d8c"/>
    <xsd:import namespace="37218ea9-0b75-4012-92b8-01d003596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2f11d-43ed-4181-9932-6864ad410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d20445d-12eb-4ed0-9b33-6994cf3987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18ea9-0b75-4012-92b8-01d003596ee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f384c3f-2965-45c0-af20-323462137747}" ma:internalName="TaxCatchAll" ma:showField="CatchAllData" ma:web="37218ea9-0b75-4012-92b8-01d003596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D23C2F-6FB4-499A-95D9-2534E3D43499}"/>
</file>

<file path=customXml/itemProps2.xml><?xml version="1.0" encoding="utf-8"?>
<ds:datastoreItem xmlns:ds="http://schemas.openxmlformats.org/officeDocument/2006/customXml" ds:itemID="{5D6095EB-9344-4208-A667-0616B5BAFFBD}"/>
</file>

<file path=customXml/itemProps3.xml><?xml version="1.0" encoding="utf-8"?>
<ds:datastoreItem xmlns:ds="http://schemas.openxmlformats.org/officeDocument/2006/customXml" ds:itemID="{F4E64C57-9FF1-4E4E-ACC1-9E729500E9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EQUIPE JPL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APLITEC</dc:creator>
  <cp:keywords/>
  <dc:description/>
  <cp:lastModifiedBy/>
  <cp:revision/>
  <dcterms:created xsi:type="dcterms:W3CDTF">1998-04-14T09:12:00Z</dcterms:created>
  <dcterms:modified xsi:type="dcterms:W3CDTF">2026-06-15T11:49:24Z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0x010100DB89F1DA1EC8B54CA0AF11F05F4C765F</vt:lpwstr>
  </property>
  <property fmtid="{D5CDD505-2E9C-101B-9397-08002B2CF9AE}" pid="3" name="MediaServiceImageTags">
    <vt:lpwstr/>
  </property>
</Properties>
</file>